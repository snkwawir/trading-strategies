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kemnkwawir/Documents/Job Applications/GitHub/trading-strategies/"/>
    </mc:Choice>
  </mc:AlternateContent>
  <xr:revisionPtr revIDLastSave="0" documentId="8_{620B2B62-2294-2F4D-993C-347D0640597E}" xr6:coauthVersionLast="47" xr6:coauthVersionMax="47" xr10:uidLastSave="{00000000-0000-0000-0000-000000000000}"/>
  <bookViews>
    <workbookView xWindow="0" yWindow="760" windowWidth="29840" windowHeight="17380" activeTab="3" xr2:uid="{B4423766-C06A-2641-A0C1-911CDBABE951}"/>
  </bookViews>
  <sheets>
    <sheet name="Strategies" sheetId="1" r:id="rId1"/>
    <sheet name="1st period D heldge" sheetId="3" r:id="rId2"/>
    <sheet name="2nd Period D Hedge" sheetId="4" r:id="rId3"/>
    <sheet name="Question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M55" i="4"/>
  <c r="B55" i="4" l="1"/>
  <c r="Q51" i="4"/>
  <c r="F51" i="4"/>
  <c r="F52" i="4" s="1"/>
  <c r="M39" i="4"/>
  <c r="B39" i="4"/>
  <c r="M23" i="4"/>
  <c r="B23" i="4"/>
  <c r="F19" i="4"/>
  <c r="F20" i="4" s="1"/>
  <c r="M8" i="4"/>
  <c r="Q4" i="4" s="1"/>
  <c r="B8" i="4"/>
  <c r="M55" i="3"/>
  <c r="B55" i="3"/>
  <c r="M39" i="3"/>
  <c r="B39" i="3"/>
  <c r="F35" i="3"/>
  <c r="I36" i="3" s="1"/>
  <c r="M23" i="3"/>
  <c r="B23" i="3"/>
  <c r="F19" i="3"/>
  <c r="M8" i="3"/>
  <c r="Q4" i="3" s="1"/>
  <c r="Q5" i="3" s="1"/>
  <c r="B8" i="3"/>
  <c r="F4" i="3" s="1"/>
  <c r="I5" i="3" s="1"/>
  <c r="B13" i="3" s="1"/>
  <c r="G18" i="1"/>
  <c r="H18" i="1" s="1"/>
  <c r="O16" i="1"/>
  <c r="O14" i="1"/>
  <c r="O12" i="1"/>
  <c r="J16" i="1"/>
  <c r="K18" i="1" s="1"/>
  <c r="L18" i="1" s="1"/>
  <c r="F16" i="1"/>
  <c r="G17" i="1" s="1"/>
  <c r="H17" i="1" s="1"/>
  <c r="B16" i="1"/>
  <c r="C18" i="1" s="1"/>
  <c r="D18" i="1" s="1"/>
  <c r="O17" i="1"/>
  <c r="O15" i="1"/>
  <c r="I20" i="4" l="1"/>
  <c r="T5" i="4"/>
  <c r="E35" i="1"/>
  <c r="I52" i="4"/>
  <c r="F4" i="4"/>
  <c r="I5" i="4" s="1"/>
  <c r="I35" i="3"/>
  <c r="Q7" i="3"/>
  <c r="Q6" i="3"/>
  <c r="T4" i="3"/>
  <c r="M13" i="3" s="1"/>
  <c r="T5" i="3"/>
  <c r="F36" i="3"/>
  <c r="F37" i="3" s="1"/>
  <c r="F20" i="3"/>
  <c r="I20" i="3"/>
  <c r="B28" i="3" s="1"/>
  <c r="B29" i="3" s="1"/>
  <c r="B30" i="3" s="1"/>
  <c r="Q52" i="4"/>
  <c r="Q54" i="4"/>
  <c r="T52" i="4"/>
  <c r="T51" i="4"/>
  <c r="I4" i="4"/>
  <c r="F5" i="4"/>
  <c r="F6" i="4" s="1"/>
  <c r="B30" i="1"/>
  <c r="B26" i="1"/>
  <c r="C17" i="1"/>
  <c r="D17" i="1" s="1"/>
  <c r="B42" i="1" s="1"/>
  <c r="K17" i="1"/>
  <c r="L17" i="1" s="1"/>
  <c r="B39" i="1" s="1"/>
  <c r="F22" i="4"/>
  <c r="F21" i="4"/>
  <c r="Q22" i="4"/>
  <c r="F53" i="4"/>
  <c r="Q53" i="4"/>
  <c r="F54" i="4"/>
  <c r="T4" i="4"/>
  <c r="M13" i="4" s="1"/>
  <c r="Q21" i="4"/>
  <c r="I51" i="4"/>
  <c r="Q19" i="4"/>
  <c r="Q20" i="4" s="1"/>
  <c r="Q5" i="4"/>
  <c r="Q6" i="4" s="1"/>
  <c r="F35" i="4"/>
  <c r="F36" i="4" s="1"/>
  <c r="F37" i="4" s="1"/>
  <c r="Q35" i="4"/>
  <c r="Q36" i="4" s="1"/>
  <c r="Q37" i="4" s="1"/>
  <c r="I19" i="4"/>
  <c r="I4" i="3"/>
  <c r="F5" i="3"/>
  <c r="F6" i="3" s="1"/>
  <c r="B14" i="3" s="1"/>
  <c r="E13" i="3" s="1"/>
  <c r="F21" i="3"/>
  <c r="F51" i="3"/>
  <c r="I52" i="3" s="1"/>
  <c r="B60" i="3" s="1"/>
  <c r="B61" i="3" s="1"/>
  <c r="B62" i="3" s="1"/>
  <c r="I51" i="3"/>
  <c r="F22" i="3"/>
  <c r="Q51" i="3"/>
  <c r="Q19" i="3"/>
  <c r="Q35" i="3"/>
  <c r="I19" i="3"/>
  <c r="O13" i="1"/>
  <c r="B28" i="4" l="1"/>
  <c r="B29" i="4" s="1"/>
  <c r="B30" i="4" s="1"/>
  <c r="B13" i="4"/>
  <c r="B14" i="4" s="1"/>
  <c r="E13" i="4" s="1"/>
  <c r="E28" i="4" s="1"/>
  <c r="T19" i="4"/>
  <c r="T36" i="4"/>
  <c r="T20" i="4"/>
  <c r="I36" i="4"/>
  <c r="T35" i="4"/>
  <c r="M60" i="4" s="1"/>
  <c r="M61" i="4" s="1"/>
  <c r="M62" i="4" s="1"/>
  <c r="I35" i="4"/>
  <c r="M14" i="3"/>
  <c r="P13" i="3" s="1"/>
  <c r="B44" i="3"/>
  <c r="B45" i="3" s="1"/>
  <c r="B46" i="3" s="1"/>
  <c r="T20" i="3"/>
  <c r="T19" i="3"/>
  <c r="M28" i="3" s="1"/>
  <c r="M29" i="3" s="1"/>
  <c r="M30" i="3" s="1"/>
  <c r="Q36" i="3"/>
  <c r="Q37" i="3" s="1"/>
  <c r="T35" i="3"/>
  <c r="T36" i="3"/>
  <c r="Q38" i="3"/>
  <c r="Q52" i="3"/>
  <c r="Q53" i="3" s="1"/>
  <c r="T51" i="3"/>
  <c r="T52" i="3"/>
  <c r="F38" i="3"/>
  <c r="E44" i="4"/>
  <c r="F7" i="4"/>
  <c r="B35" i="1"/>
  <c r="E26" i="1"/>
  <c r="E30" i="1"/>
  <c r="H35" i="1"/>
  <c r="Q38" i="4"/>
  <c r="F38" i="4"/>
  <c r="Q7" i="4"/>
  <c r="M14" i="4" s="1"/>
  <c r="P13" i="4" s="1"/>
  <c r="M28" i="4"/>
  <c r="M29" i="4" s="1"/>
  <c r="M30" i="4" s="1"/>
  <c r="F52" i="3"/>
  <c r="F53" i="3" s="1"/>
  <c r="E28" i="3"/>
  <c r="E44" i="3" s="1"/>
  <c r="Q20" i="3"/>
  <c r="Q21" i="3" s="1"/>
  <c r="F7" i="3"/>
  <c r="M44" i="4" l="1"/>
  <c r="M45" i="4" s="1"/>
  <c r="M46" i="4" s="1"/>
  <c r="Q54" i="3"/>
  <c r="F54" i="3"/>
  <c r="E60" i="3"/>
  <c r="M60" i="3"/>
  <c r="M61" i="3" s="1"/>
  <c r="M62" i="3" s="1"/>
  <c r="M44" i="3"/>
  <c r="M45" i="3" s="1"/>
  <c r="M46" i="3" s="1"/>
  <c r="P28" i="4"/>
  <c r="P44" i="4" s="1"/>
  <c r="P60" i="4" s="1"/>
  <c r="B44" i="4"/>
  <c r="B45" i="4" s="1"/>
  <c r="B46" i="4" s="1"/>
  <c r="E60" i="4"/>
  <c r="B60" i="4"/>
  <c r="B61" i="4" s="1"/>
  <c r="B62" i="4" s="1"/>
  <c r="Q22" i="3"/>
  <c r="P28" i="3" l="1"/>
  <c r="P44" i="3"/>
  <c r="P60" i="3" s="1"/>
  <c r="J6" i="1" l="1"/>
  <c r="F6" i="1"/>
  <c r="R12" i="1" l="1"/>
  <c r="U12" i="1" s="1"/>
  <c r="C7" i="1"/>
  <c r="D7" i="1" s="1"/>
  <c r="C8" i="1"/>
  <c r="D8" i="1" s="1"/>
  <c r="G8" i="1"/>
  <c r="H8" i="1" s="1"/>
  <c r="G7" i="1"/>
  <c r="H7" i="1" s="1"/>
  <c r="K8" i="1"/>
  <c r="L8" i="1" s="1"/>
  <c r="K7" i="1"/>
  <c r="L7" i="1" s="1"/>
  <c r="B34" i="1" l="1"/>
  <c r="B38" i="1"/>
  <c r="E34" i="1"/>
  <c r="B25" i="1"/>
  <c r="B29" i="1"/>
  <c r="B41" i="1"/>
  <c r="H34" i="1"/>
  <c r="E29" i="1"/>
  <c r="E25" i="1"/>
  <c r="U15" i="1"/>
  <c r="U16" i="1"/>
  <c r="U13" i="1"/>
  <c r="R13" i="1"/>
  <c r="R14" i="1" s="1"/>
  <c r="U18" i="1" l="1"/>
  <c r="U19" i="1" s="1"/>
  <c r="R15" i="1"/>
</calcChain>
</file>

<file path=xl/sharedStrings.xml><?xml version="1.0" encoding="utf-8"?>
<sst xmlns="http://schemas.openxmlformats.org/spreadsheetml/2006/main" count="420" uniqueCount="87">
  <si>
    <t>Ticker</t>
  </si>
  <si>
    <t>Close Price</t>
  </si>
  <si>
    <t>Call Option Premium</t>
  </si>
  <si>
    <t>SPY</t>
  </si>
  <si>
    <t>Strike (110%)</t>
  </si>
  <si>
    <t>Strike(100%)</t>
  </si>
  <si>
    <t>Strike(95%)</t>
  </si>
  <si>
    <t>r</t>
  </si>
  <si>
    <t>DY</t>
  </si>
  <si>
    <t>S</t>
  </si>
  <si>
    <t>d1</t>
  </si>
  <si>
    <t>Call Delta</t>
  </si>
  <si>
    <t>K</t>
  </si>
  <si>
    <t>d2</t>
  </si>
  <si>
    <t>Put Delta</t>
  </si>
  <si>
    <t>Volatility</t>
  </si>
  <si>
    <t>Put Price</t>
  </si>
  <si>
    <t>Risk Free Rate</t>
  </si>
  <si>
    <t>Call Price</t>
  </si>
  <si>
    <t>Call Gamma</t>
  </si>
  <si>
    <t>T</t>
  </si>
  <si>
    <t>Put Gamma</t>
  </si>
  <si>
    <t>Dividend Rate</t>
  </si>
  <si>
    <t>t</t>
  </si>
  <si>
    <t>Call Theta</t>
  </si>
  <si>
    <t>Put Thetha</t>
  </si>
  <si>
    <t>https://fred.stlouisfed.org/series/DTB3#0</t>
  </si>
  <si>
    <t>https://www.nasdaq.com/market-activity/etf/spy/dividend-history</t>
  </si>
  <si>
    <t>Put Option Premium</t>
  </si>
  <si>
    <t>vol (March)</t>
  </si>
  <si>
    <t>vol (July)</t>
  </si>
  <si>
    <t>Days to Exp:</t>
  </si>
  <si>
    <t>Price @ Expiration</t>
  </si>
  <si>
    <t xml:space="preserve">to </t>
  </si>
  <si>
    <t>Covered call: (a) K = 1.1*S, (b) K = S, (c) K = 0.95*S</t>
  </si>
  <si>
    <t>Covered put: (a) K = 1.1*S, (b) K = S, (c) K = 0.95*S</t>
  </si>
  <si>
    <t>Naked call: (a) K = 1.1*S, (b) K = S, (c) K = 0.95*S</t>
  </si>
  <si>
    <t>Naked put: (a) K = 1.1*S, (b) K = S, (c) K = 0.95*S</t>
  </si>
  <si>
    <t>Bull call spread: Use 0.95*S and 1.1*S for the strike prices</t>
  </si>
  <si>
    <t>Bull put spread: Use 0.95*S and 1.1*S for the strike prices</t>
  </si>
  <si>
    <t>Bear call spread: Use 0.95*S and 1.1*S for the strike prices</t>
  </si>
  <si>
    <t>Bear put spread: Use 0.95*S and 1.1*S for the strike prices</t>
  </si>
  <si>
    <t>Straddle: (a) K = 1.1*S, (b) K = S, (c) K = 0.95*S</t>
  </si>
  <si>
    <t>Strangle: Use 0.95*S and 1.1*S for the strike prices</t>
  </si>
  <si>
    <t>Sell (write) at-the-money call option on 100 share of SPY and delta-hedge your position. Calculate the monthly mark-to-market profit/loss and rebalance your portfolio twice - after the 1st and 2nd month. Calculate your overall profit/loss at expiration (after the 3rd month). Compare to at-the-money (K = S) naked call.</t>
  </si>
  <si>
    <t>Sell (write) at-the-money put option on 100 share of SPY and delta-hedge your position. Calculate the monthly mark-to-market profit/loss and rebalance your portfolio twice - after the 1st and 2nd month. Calculate your overall profit/loss at expiration (after the 3rd month). Compare to at-the-money (K = S) naked put.</t>
  </si>
  <si>
    <t>Payoff</t>
  </si>
  <si>
    <t>Profit (Mar-Jun)</t>
  </si>
  <si>
    <t>Profit (Jul-Oct)</t>
  </si>
  <si>
    <t>Bull Call Spread</t>
  </si>
  <si>
    <t>Bull Put Spread</t>
  </si>
  <si>
    <t>Bear Call Spread</t>
  </si>
  <si>
    <t>Bear Put Spread</t>
  </si>
  <si>
    <t>Straddle</t>
  </si>
  <si>
    <t>K = 1.1*S</t>
  </si>
  <si>
    <t>K = S*0.95</t>
  </si>
  <si>
    <t>K = S</t>
  </si>
  <si>
    <t>Strangle</t>
  </si>
  <si>
    <t>Delta Hedging</t>
  </si>
  <si>
    <t>Options Quantity</t>
  </si>
  <si>
    <t xml:space="preserve"> </t>
  </si>
  <si>
    <t>Buy:</t>
  </si>
  <si>
    <t>Overnight Profit/Loss:</t>
  </si>
  <si>
    <t>Cost:</t>
  </si>
  <si>
    <t>Difference in Delta:</t>
  </si>
  <si>
    <t>March</t>
  </si>
  <si>
    <t>April</t>
  </si>
  <si>
    <t>May</t>
  </si>
  <si>
    <t>vol(April)</t>
  </si>
  <si>
    <t>vol(May)</t>
  </si>
  <si>
    <t>vol (aUG)</t>
  </si>
  <si>
    <t>vol(Sept)</t>
  </si>
  <si>
    <t>From July 29 bc Aug 1 was not available</t>
  </si>
  <si>
    <t>From April 5 bc April 6 was not available</t>
  </si>
  <si>
    <t>From Aug 30 bc Sept 1 was not available</t>
  </si>
  <si>
    <t>Writing Call</t>
  </si>
  <si>
    <t>Writing Put</t>
  </si>
  <si>
    <t>July</t>
  </si>
  <si>
    <t>August</t>
  </si>
  <si>
    <t>September</t>
  </si>
  <si>
    <t>October</t>
  </si>
  <si>
    <t>https://www.dolthub.com/repositories/post-no-preference/options/</t>
  </si>
  <si>
    <t>Stock prices from Yahoo Finance</t>
  </si>
  <si>
    <t>This is buy high put and low call -&gt; more profit overall regardless of outcome</t>
  </si>
  <si>
    <t>This is buy the high call and low put -&gt; less expensive initially</t>
  </si>
  <si>
    <t>Stock Price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</si>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</sst>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4"/>
      <color rgb="FF232A31"/>
      <name val="Helvetica Neue"/>
      <family val="2"/>
    </font>
    <font>
      <sz val="14"/>
      <color rgb="FF0C1A32"/>
      <name val="Menlo"/>
      <family val="2"/>
    </font>
    <font>
      <b/>
      <sz val="12"/>
      <color theme="1"/>
      <name val="Aptos Narrow"/>
      <scheme val="minor"/>
    </font>
    <font>
      <sz val="12"/>
      <color rgb="FF0C1A32"/>
      <name val="Menl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14" fontId="0" fillId="0" borderId="1" xfId="0" applyNumberFormat="1" applyBorder="1"/>
    <xf numFmtId="0" fontId="0" fillId="0" borderId="2" xfId="0" applyBorder="1"/>
    <xf numFmtId="0" fontId="0" fillId="0" borderId="3" xfId="0" applyBorder="1"/>
    <xf numFmtId="14" fontId="0" fillId="0" borderId="4" xfId="0" applyNumberFormat="1" applyBorder="1"/>
    <xf numFmtId="0" fontId="0" fillId="0" borderId="5" xfId="0" applyBorder="1"/>
    <xf numFmtId="14" fontId="0" fillId="0" borderId="6" xfId="0" applyNumberFormat="1" applyBorder="1"/>
    <xf numFmtId="0" fontId="0" fillId="0" borderId="7" xfId="0" applyBorder="1"/>
    <xf numFmtId="0" fontId="0" fillId="0" borderId="8" xfId="0" applyBorder="1"/>
    <xf numFmtId="0" fontId="0" fillId="2" borderId="5" xfId="0" applyFill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olthub.com/repositories/post-no-preference/optio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D7917-2BE6-5C4C-B94A-3B254B5B9D4B}">
  <dimension ref="A1:U42"/>
  <sheetViews>
    <sheetView topLeftCell="A16" workbookViewId="0">
      <selection activeCell="B6" sqref="B6"/>
    </sheetView>
  </sheetViews>
  <sheetFormatPr baseColWidth="10" defaultRowHeight="16" x14ac:dyDescent="0.2"/>
  <cols>
    <col min="1" max="1" width="18" bestFit="1" customWidth="1"/>
    <col min="2" max="2" width="13.6640625" bestFit="1" customWidth="1"/>
    <col min="4" max="5" width="18" bestFit="1" customWidth="1"/>
    <col min="7" max="7" width="18" bestFit="1" customWidth="1"/>
    <col min="9" max="9" width="18" bestFit="1" customWidth="1"/>
    <col min="12" max="12" width="17" bestFit="1" customWidth="1"/>
    <col min="14" max="14" width="12.6640625" bestFit="1" customWidth="1"/>
    <col min="15" max="15" width="18.5" bestFit="1" customWidth="1"/>
    <col min="16" max="16" width="14" customWidth="1"/>
  </cols>
  <sheetData>
    <row r="1" spans="1:21" x14ac:dyDescent="0.2">
      <c r="A1" t="s">
        <v>0</v>
      </c>
      <c r="B1" t="s">
        <v>3</v>
      </c>
      <c r="N1" t="s">
        <v>7</v>
      </c>
      <c r="O1">
        <v>5.2400000000000002E-2</v>
      </c>
      <c r="P1" t="s">
        <v>26</v>
      </c>
    </row>
    <row r="3" spans="1:21" x14ac:dyDescent="0.2">
      <c r="N3" t="s">
        <v>8</v>
      </c>
      <c r="O3">
        <v>1.1599999999999999E-2</v>
      </c>
      <c r="P3" t="s">
        <v>27</v>
      </c>
    </row>
    <row r="4" spans="1:21" x14ac:dyDescent="0.2">
      <c r="A4" s="2">
        <v>45357</v>
      </c>
      <c r="B4" t="s">
        <v>33</v>
      </c>
      <c r="C4" s="2">
        <v>45449</v>
      </c>
      <c r="N4" t="s">
        <v>29</v>
      </c>
      <c r="O4">
        <v>0.1226</v>
      </c>
      <c r="P4" t="s">
        <v>81</v>
      </c>
    </row>
    <row r="5" spans="1:21" x14ac:dyDescent="0.2">
      <c r="A5" t="s">
        <v>85</v>
      </c>
      <c r="B5">
        <v>509.75</v>
      </c>
      <c r="N5" t="s">
        <v>68</v>
      </c>
      <c r="O5">
        <v>9.9400000000000002E-2</v>
      </c>
      <c r="P5" t="s">
        <v>73</v>
      </c>
    </row>
    <row r="6" spans="1:21" x14ac:dyDescent="0.2">
      <c r="A6" t="s">
        <v>4</v>
      </c>
      <c r="B6">
        <f>1.1*B5</f>
        <v>560.72500000000002</v>
      </c>
      <c r="D6" t="s">
        <v>46</v>
      </c>
      <c r="E6" t="s">
        <v>5</v>
      </c>
      <c r="F6">
        <f>B5</f>
        <v>509.75</v>
      </c>
      <c r="H6" t="s">
        <v>46</v>
      </c>
      <c r="I6" t="s">
        <v>6</v>
      </c>
      <c r="J6">
        <f>0.95*B5</f>
        <v>484.26249999999999</v>
      </c>
      <c r="L6" t="s">
        <v>46</v>
      </c>
      <c r="N6" t="s">
        <v>69</v>
      </c>
      <c r="O6">
        <v>0.13059999999999999</v>
      </c>
    </row>
    <row r="7" spans="1:21" x14ac:dyDescent="0.2">
      <c r="A7" t="s">
        <v>28</v>
      </c>
      <c r="B7">
        <v>46.334438886057967</v>
      </c>
      <c r="C7" t="str">
        <f>IF($B$11&gt;B6, "No Exercise","Exercise")</f>
        <v>Exercise</v>
      </c>
      <c r="D7">
        <f>IF(C7="Exercise", B6-$B$11, 0)</f>
        <v>26.065000000000055</v>
      </c>
      <c r="E7" t="s">
        <v>28</v>
      </c>
      <c r="F7">
        <v>10.034227325302282</v>
      </c>
      <c r="G7" t="str">
        <f>IF($B$11&gt;F6, "No Exercise","Exercise")</f>
        <v>No Exercise</v>
      </c>
      <c r="H7">
        <f>IF(G7="Exercise", F6-$B$11, 0)</f>
        <v>0</v>
      </c>
      <c r="I7" t="s">
        <v>28</v>
      </c>
      <c r="J7">
        <v>2.5575382117289962</v>
      </c>
      <c r="K7" t="str">
        <f>IF($B$11&gt;J6, "No Exercise","Exercise")</f>
        <v>No Exercise</v>
      </c>
      <c r="L7">
        <f>IF(K7="Exercise", J6-$B$11, 0)</f>
        <v>0</v>
      </c>
    </row>
    <row r="8" spans="1:21" x14ac:dyDescent="0.2">
      <c r="A8" t="s">
        <v>2</v>
      </c>
      <c r="B8">
        <v>1.2775556474499723</v>
      </c>
      <c r="C8" t="str">
        <f>IF($B$11&lt;B6, "No Exercise","Exercise")</f>
        <v>No Exercise</v>
      </c>
      <c r="D8">
        <f>IF(C8="Exercise", $B$11-B6, 0)</f>
        <v>0</v>
      </c>
      <c r="E8" t="s">
        <v>2</v>
      </c>
      <c r="F8">
        <v>15.277569729487823</v>
      </c>
      <c r="G8" t="str">
        <f>IF($B$11&lt;F6, "No Exercise","Exercise")</f>
        <v>Exercise</v>
      </c>
      <c r="H8">
        <f>IF(G8="Exercise", $B$11-F6, 0)</f>
        <v>24.909999999999968</v>
      </c>
      <c r="I8" t="s">
        <v>2</v>
      </c>
      <c r="J8">
        <v>32.950993437311297</v>
      </c>
      <c r="K8" t="str">
        <f>IF($B$11&lt;J6, "No Exercise","Exercise")</f>
        <v>Exercise</v>
      </c>
      <c r="L8">
        <f>IF(K8="Exercise", $B$11-J6, 0)</f>
        <v>50.39749999999998</v>
      </c>
      <c r="N8" t="s">
        <v>30</v>
      </c>
      <c r="O8">
        <v>7.4300000000000005E-2</v>
      </c>
    </row>
    <row r="9" spans="1:21" x14ac:dyDescent="0.2">
      <c r="N9" t="s">
        <v>70</v>
      </c>
      <c r="O9">
        <v>0.11749999999999999</v>
      </c>
      <c r="P9" t="s">
        <v>72</v>
      </c>
    </row>
    <row r="10" spans="1:21" x14ac:dyDescent="0.2">
      <c r="A10" t="s">
        <v>31</v>
      </c>
      <c r="B10">
        <v>93</v>
      </c>
      <c r="N10" t="s">
        <v>71</v>
      </c>
      <c r="O10">
        <v>0.18940000000000001</v>
      </c>
      <c r="P10" t="s">
        <v>74</v>
      </c>
    </row>
    <row r="11" spans="1:21" x14ac:dyDescent="0.2">
      <c r="A11" t="s">
        <v>32</v>
      </c>
      <c r="B11">
        <v>534.66</v>
      </c>
    </row>
    <row r="12" spans="1:21" x14ac:dyDescent="0.2">
      <c r="N12" t="s">
        <v>9</v>
      </c>
      <c r="O12">
        <f>B15</f>
        <v>545.34</v>
      </c>
      <c r="Q12" t="s">
        <v>10</v>
      </c>
      <c r="R12">
        <f>(LN(O12/O13)+(O15-O17+((1/2)*O14^2))*O16)/(O14*SQRT(O16))</f>
        <v>1.6635907094393396</v>
      </c>
      <c r="T12" t="s">
        <v>11</v>
      </c>
      <c r="U12">
        <f>EXP(-O17*(O16-O18))*_xlfn.NORM.DIST(R12,0,1,TRUE)</f>
        <v>0.94909356898402364</v>
      </c>
    </row>
    <row r="13" spans="1:21" x14ac:dyDescent="0.2">
      <c r="N13" t="s">
        <v>12</v>
      </c>
      <c r="O13">
        <f>J16</f>
        <v>518.07299999999998</v>
      </c>
      <c r="Q13" t="s">
        <v>13</v>
      </c>
      <c r="R13">
        <f>R12-(O14*SQRT(O16))</f>
        <v>1.6260861683444305</v>
      </c>
      <c r="T13" t="s">
        <v>14</v>
      </c>
      <c r="U13">
        <f>EXP(-O17*(O16-O18))*_xlfn.NORM.DIST(-R12,0,1,TRUE)</f>
        <v>4.7955178111849038E-2</v>
      </c>
    </row>
    <row r="14" spans="1:21" x14ac:dyDescent="0.2">
      <c r="A14" s="2">
        <v>45474</v>
      </c>
      <c r="B14" t="s">
        <v>33</v>
      </c>
      <c r="C14" s="2">
        <v>45566</v>
      </c>
      <c r="N14" t="s">
        <v>15</v>
      </c>
      <c r="O14">
        <f>O8</f>
        <v>7.4300000000000005E-2</v>
      </c>
      <c r="Q14" t="s">
        <v>16</v>
      </c>
      <c r="R14">
        <f>O13*EXP(-O15*O16)*_xlfn.NORM.DIST(-R13,0,1,TRUE)-O12*EXP(-O17*O16)*_xlfn.NORM.DIST(-R12,0,1,TRUE)</f>
        <v>0.41307696883202283</v>
      </c>
    </row>
    <row r="15" spans="1:21" x14ac:dyDescent="0.2">
      <c r="A15" t="s">
        <v>85</v>
      </c>
      <c r="B15">
        <v>545.34</v>
      </c>
      <c r="N15" t="s">
        <v>17</v>
      </c>
      <c r="O15">
        <f>O1</f>
        <v>5.2400000000000002E-2</v>
      </c>
      <c r="Q15" t="s">
        <v>18</v>
      </c>
      <c r="R15">
        <f>O12*EXP(-O17*O16)*_xlfn.NORM.DIST(R12,0,1,TRUE)-O13*EXP(-O15*O16)*_xlfn.NORM.DIST(R13,0,1,TRUE)</f>
        <v>32.94158413243656</v>
      </c>
      <c r="T15" t="s">
        <v>19</v>
      </c>
      <c r="U15">
        <f>(EXP(-O17*(O16-O18))*_xlfn.NORM.DIST(R12,0,1,FALSE))/(O12*O14*SQRT(O16-O18))</f>
        <v>4.8743068473763428E-3</v>
      </c>
    </row>
    <row r="16" spans="1:21" x14ac:dyDescent="0.2">
      <c r="A16" t="s">
        <v>4</v>
      </c>
      <c r="B16">
        <f>1.1*B15</f>
        <v>599.87400000000014</v>
      </c>
      <c r="D16" t="s">
        <v>46</v>
      </c>
      <c r="E16" t="s">
        <v>5</v>
      </c>
      <c r="F16">
        <f>B15</f>
        <v>545.34</v>
      </c>
      <c r="H16" t="s">
        <v>46</v>
      </c>
      <c r="I16" t="s">
        <v>6</v>
      </c>
      <c r="J16">
        <f>0.95*B15</f>
        <v>518.07299999999998</v>
      </c>
      <c r="L16" t="s">
        <v>46</v>
      </c>
      <c r="N16" t="s">
        <v>20</v>
      </c>
      <c r="O16">
        <f>B20/365</f>
        <v>0.25479452054794521</v>
      </c>
      <c r="T16" t="s">
        <v>21</v>
      </c>
      <c r="U16">
        <f>(EXP(-O17*(O16-O18))*_xlfn.NORM.DIST(R12,0,1,FALSE))/(O12*O14*SQRT(O16-O18))</f>
        <v>4.8743068473763428E-3</v>
      </c>
    </row>
    <row r="17" spans="1:21" x14ac:dyDescent="0.2">
      <c r="A17" t="s">
        <v>28</v>
      </c>
      <c r="B17">
        <v>48.289001601418704</v>
      </c>
      <c r="C17" t="str">
        <f>IF($B$21&gt;B16, "No Exercise","Exercise")</f>
        <v>Exercise</v>
      </c>
      <c r="D17">
        <f>IF(C17="Exercise", B16-$B$21, 0)</f>
        <v>31.254000000000133</v>
      </c>
      <c r="E17" t="s">
        <v>28</v>
      </c>
      <c r="F17">
        <v>5.5955993552933876</v>
      </c>
      <c r="G17" t="str">
        <f>IF($B$21&gt;F16, "No Exercise","Exercise")</f>
        <v>No Exercise</v>
      </c>
      <c r="H17">
        <f>IF(G17="Exercise", F16-$B$21, 0)</f>
        <v>0</v>
      </c>
      <c r="I17" t="s">
        <v>28</v>
      </c>
      <c r="J17">
        <v>0.41375430864437845</v>
      </c>
      <c r="K17" t="str">
        <f>IF($B$21&gt;J16, "No Exercise","Exercise")</f>
        <v>No Exercise</v>
      </c>
      <c r="L17">
        <f>IF(K17="Exercise", J16-$B$21, 0)</f>
        <v>0</v>
      </c>
      <c r="N17" t="s">
        <v>22</v>
      </c>
      <c r="O17">
        <f>O3</f>
        <v>1.1599999999999999E-2</v>
      </c>
    </row>
    <row r="18" spans="1:21" x14ac:dyDescent="0.2">
      <c r="A18" t="s">
        <v>2</v>
      </c>
      <c r="B18">
        <v>8.6312625759069839E-2</v>
      </c>
      <c r="C18" t="str">
        <f>IF($B$21&lt;B16, "No Exercise","Exercise")</f>
        <v>No Exercise</v>
      </c>
      <c r="D18">
        <f>IF(C18="Exercise", $B$21-B16, 0)</f>
        <v>0</v>
      </c>
      <c r="E18" t="s">
        <v>2</v>
      </c>
      <c r="F18">
        <v>11.205024262990435</v>
      </c>
      <c r="G18" t="str">
        <f>IF($B$21&lt;F16, "No Exercise","Exercise")</f>
        <v>Exercise</v>
      </c>
      <c r="H18">
        <f>IF(G18="Exercise", $B$21-F16, 0)</f>
        <v>23.279999999999973</v>
      </c>
      <c r="I18" t="s">
        <v>2</v>
      </c>
      <c r="J18">
        <v>32.929236158019819</v>
      </c>
      <c r="K18" t="str">
        <f>IF($B$21&lt;J16, "No Exercise","Exercise")</f>
        <v>Exercise</v>
      </c>
      <c r="L18">
        <f>IF(K18="Exercise", $B$21-J16, 0)</f>
        <v>50.547000000000025</v>
      </c>
      <c r="N18" t="s">
        <v>23</v>
      </c>
      <c r="T18" t="s">
        <v>24</v>
      </c>
      <c r="U18">
        <f>O17*O12*EXP(-O17*(O16-O18))*_xlfn.NORM.DIST(R12,0,1,TRUE)-O15*O13*EXP(-O15*(O16-O18))*_xlfn.NORM.DIST(R13,0,1,TRUE)-((O13*EXP(-O15*(O16-O18))*_xlfn.NORM.DIST(R13,0,1,FALSE)*O14)/(2*SQRT(O16-O18)))</f>
        <v>-23.392316974166722</v>
      </c>
    </row>
    <row r="19" spans="1:21" x14ac:dyDescent="0.2">
      <c r="T19" t="s">
        <v>25</v>
      </c>
      <c r="U19">
        <f>U18+O15*O13*EXP(-O15*(O16-O18))-O17*O12*EXP(-O17*(O16-O18))</f>
        <v>-2.9126037488960543</v>
      </c>
    </row>
    <row r="20" spans="1:21" x14ac:dyDescent="0.2">
      <c r="A20" t="s">
        <v>31</v>
      </c>
      <c r="B20">
        <v>93</v>
      </c>
    </row>
    <row r="21" spans="1:21" x14ac:dyDescent="0.2">
      <c r="A21" t="s">
        <v>32</v>
      </c>
      <c r="B21">
        <v>568.62</v>
      </c>
    </row>
    <row r="22" spans="1:21" x14ac:dyDescent="0.2">
      <c r="O22" t="s">
        <v>1</v>
      </c>
      <c r="P22" t="s">
        <v>17</v>
      </c>
      <c r="Q22" t="s">
        <v>15</v>
      </c>
    </row>
    <row r="23" spans="1:21" x14ac:dyDescent="0.2">
      <c r="N23" s="6">
        <v>45357</v>
      </c>
      <c r="O23" s="7">
        <v>509.75</v>
      </c>
      <c r="P23" s="7">
        <v>5.2400000000000002E-2</v>
      </c>
      <c r="Q23" s="8">
        <v>0.1226</v>
      </c>
    </row>
    <row r="24" spans="1:21" x14ac:dyDescent="0.2">
      <c r="A24" s="4" t="s">
        <v>49</v>
      </c>
      <c r="B24" s="4"/>
      <c r="C24" s="4"/>
      <c r="D24" s="4" t="s">
        <v>50</v>
      </c>
      <c r="N24" s="9">
        <v>45387</v>
      </c>
      <c r="O24">
        <v>518.42999999999995</v>
      </c>
      <c r="P24">
        <v>5.2299999999999999E-2</v>
      </c>
      <c r="Q24" s="10">
        <v>9.9400000000000002E-2</v>
      </c>
    </row>
    <row r="25" spans="1:21" x14ac:dyDescent="0.2">
      <c r="A25" t="s">
        <v>47</v>
      </c>
      <c r="B25">
        <f>(B8-J8)+(L8-D8)</f>
        <v>18.724062210138655</v>
      </c>
      <c r="D25" t="s">
        <v>47</v>
      </c>
      <c r="E25">
        <f>(B7-J7)+(-D7+L7)</f>
        <v>17.711900674328916</v>
      </c>
      <c r="N25" s="9">
        <v>45418</v>
      </c>
      <c r="O25">
        <v>516.57000000000005</v>
      </c>
      <c r="P25">
        <v>5.2499999999999998E-2</v>
      </c>
      <c r="Q25" s="10">
        <v>0.13059999999999999</v>
      </c>
    </row>
    <row r="26" spans="1:21" x14ac:dyDescent="0.2">
      <c r="A26" t="s">
        <v>48</v>
      </c>
      <c r="B26">
        <f>(B18-J18)+(L18-D18)</f>
        <v>17.704076467739277</v>
      </c>
      <c r="D26" t="s">
        <v>48</v>
      </c>
      <c r="E26">
        <f>(B17-J17)+(-D17+L17)</f>
        <v>16.621247292774193</v>
      </c>
      <c r="N26" s="11">
        <v>45449</v>
      </c>
      <c r="O26" s="12">
        <v>534.66</v>
      </c>
      <c r="P26" s="12">
        <v>5.2499999999999998E-2</v>
      </c>
      <c r="Q26" s="13">
        <v>0.10489999999999999</v>
      </c>
    </row>
    <row r="27" spans="1:21" x14ac:dyDescent="0.2">
      <c r="N27" s="6">
        <v>45474</v>
      </c>
      <c r="O27" s="7">
        <v>545.34</v>
      </c>
      <c r="P27" s="7">
        <v>5.2400000000000002E-2</v>
      </c>
      <c r="Q27" s="8">
        <v>7.4300000000000005E-2</v>
      </c>
    </row>
    <row r="28" spans="1:21" x14ac:dyDescent="0.2">
      <c r="A28" s="4" t="s">
        <v>51</v>
      </c>
      <c r="B28" s="4"/>
      <c r="C28" s="4"/>
      <c r="D28" s="4" t="s">
        <v>52</v>
      </c>
      <c r="N28" s="9">
        <v>45505</v>
      </c>
      <c r="O28">
        <v>543.01</v>
      </c>
      <c r="P28">
        <v>5.1200000000000002E-2</v>
      </c>
      <c r="Q28" s="14">
        <v>0.11749999999999999</v>
      </c>
    </row>
    <row r="29" spans="1:21" x14ac:dyDescent="0.2">
      <c r="A29" t="s">
        <v>47</v>
      </c>
      <c r="B29">
        <f>(-B8+J8)+(-L8+D8)</f>
        <v>-18.724062210138655</v>
      </c>
      <c r="D29" t="s">
        <v>47</v>
      </c>
      <c r="E29">
        <f>(-B7+J7)+(D7-L7)</f>
        <v>-17.711900674328916</v>
      </c>
      <c r="N29" s="9">
        <v>45538</v>
      </c>
      <c r="O29">
        <v>552.08000000000004</v>
      </c>
      <c r="P29">
        <v>4.9700000000000001E-2</v>
      </c>
      <c r="Q29" s="14">
        <v>0.18940000000000001</v>
      </c>
    </row>
    <row r="30" spans="1:21" x14ac:dyDescent="0.2">
      <c r="A30" t="s">
        <v>48</v>
      </c>
      <c r="B30">
        <f>(-B18+J18)+(-L18+D18)</f>
        <v>-17.704076467739277</v>
      </c>
      <c r="D30" t="s">
        <v>48</v>
      </c>
      <c r="E30">
        <f>(-B17+J17)+(D17-L17)</f>
        <v>-16.621247292774193</v>
      </c>
      <c r="N30" s="11">
        <v>45566</v>
      </c>
      <c r="O30" s="12">
        <v>568.62</v>
      </c>
      <c r="P30" s="12">
        <v>4.4999999999999998E-2</v>
      </c>
      <c r="Q30" s="13">
        <v>0.1265</v>
      </c>
    </row>
    <row r="31" spans="1:21" x14ac:dyDescent="0.2">
      <c r="N31" s="2"/>
    </row>
    <row r="32" spans="1:21" x14ac:dyDescent="0.2">
      <c r="A32" s="4" t="s">
        <v>53</v>
      </c>
      <c r="N32" s="2"/>
    </row>
    <row r="33" spans="1:14" x14ac:dyDescent="0.2">
      <c r="A33" t="s">
        <v>54</v>
      </c>
      <c r="D33" t="s">
        <v>56</v>
      </c>
      <c r="G33" t="s">
        <v>55</v>
      </c>
    </row>
    <row r="34" spans="1:14" x14ac:dyDescent="0.2">
      <c r="A34" t="s">
        <v>47</v>
      </c>
      <c r="B34">
        <f>-(B7+B8)+D7+D8</f>
        <v>-21.546994533507885</v>
      </c>
      <c r="D34" t="s">
        <v>47</v>
      </c>
      <c r="E34">
        <f>-(F7+F8)+H7+H8</f>
        <v>-0.40179705479013705</v>
      </c>
      <c r="G34" t="s">
        <v>47</v>
      </c>
      <c r="H34">
        <f>-(J7+J8)+L7+L8</f>
        <v>14.888968350959686</v>
      </c>
      <c r="N34" t="s">
        <v>82</v>
      </c>
    </row>
    <row r="35" spans="1:14" x14ac:dyDescent="0.2">
      <c r="A35" t="s">
        <v>48</v>
      </c>
      <c r="B35">
        <f>-(B17+B18)+D17+D18</f>
        <v>-17.121314227177642</v>
      </c>
      <c r="D35" t="s">
        <v>48</v>
      </c>
      <c r="E35">
        <f>-(F17+F18)+H17+H18</f>
        <v>6.4793763817161505</v>
      </c>
      <c r="G35" t="s">
        <v>48</v>
      </c>
      <c r="H35">
        <f>-(J17+J18)+L18+L17</f>
        <v>17.204009533335828</v>
      </c>
    </row>
    <row r="37" spans="1:14" x14ac:dyDescent="0.2">
      <c r="A37" s="4" t="s">
        <v>57</v>
      </c>
    </row>
    <row r="38" spans="1:14" x14ac:dyDescent="0.2">
      <c r="A38" t="s">
        <v>47</v>
      </c>
      <c r="B38">
        <f>-(J7+B8)+L7+D8</f>
        <v>-3.8350938591789685</v>
      </c>
      <c r="C38" t="s">
        <v>84</v>
      </c>
    </row>
    <row r="39" spans="1:14" x14ac:dyDescent="0.2">
      <c r="A39" t="s">
        <v>48</v>
      </c>
      <c r="B39">
        <f>-(B18+J17)+D18+L17</f>
        <v>-0.50006693440344829</v>
      </c>
    </row>
    <row r="41" spans="1:14" x14ac:dyDescent="0.2">
      <c r="A41" t="s">
        <v>47</v>
      </c>
      <c r="B41">
        <f>-(B7+J8)+D7+L8</f>
        <v>-2.8229323233692298</v>
      </c>
      <c r="C41" t="s">
        <v>83</v>
      </c>
    </row>
    <row r="42" spans="1:14" x14ac:dyDescent="0.2">
      <c r="A42" t="s">
        <v>47</v>
      </c>
      <c r="B42">
        <f>-(B17+J18)+D17+L18</f>
        <v>0.58276224056163528</v>
      </c>
    </row>
  </sheetData>
  <conditionalFormatting sqref="C7:C8 G7:G8 K7:K8 C17:C18 G17:G18 K17:K18">
    <cfRule type="cellIs" dxfId="1" priority="1" operator="equal">
      <formula>"Exercise"</formula>
    </cfRule>
    <cfRule type="cellIs" dxfId="0" priority="2" operator="equal">
      <formula>"No Exercise"</formula>
    </cfRule>
  </conditionalFormatting>
  <hyperlinks>
    <hyperlink ref="P4" r:id="rId1" xr:uid="{3C4F9A56-D7F4-CB46-8196-7D08C17FDB8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6CE5A-C82E-CF4A-A400-F91489204D14}">
  <dimension ref="A1:T62"/>
  <sheetViews>
    <sheetView topLeftCell="A3" workbookViewId="0">
      <selection activeCell="B5" sqref="B5"/>
    </sheetView>
  </sheetViews>
  <sheetFormatPr baseColWidth="10" defaultRowHeight="16" x14ac:dyDescent="0.2"/>
  <cols>
    <col min="1" max="1" width="17" bestFit="1" customWidth="1"/>
    <col min="4" max="4" width="18.5" bestFit="1" customWidth="1"/>
    <col min="12" max="12" width="17" bestFit="1" customWidth="1"/>
    <col min="15" max="15" width="18.5" bestFit="1" customWidth="1"/>
    <col min="16" max="16" width="12.1640625" bestFit="1" customWidth="1"/>
  </cols>
  <sheetData>
    <row r="1" spans="1:20" x14ac:dyDescent="0.2">
      <c r="A1" s="4" t="s">
        <v>58</v>
      </c>
    </row>
    <row r="2" spans="1:20" x14ac:dyDescent="0.2">
      <c r="A2" t="s">
        <v>76</v>
      </c>
      <c r="L2" t="s">
        <v>75</v>
      </c>
    </row>
    <row r="3" spans="1:20" x14ac:dyDescent="0.2">
      <c r="A3" t="s">
        <v>65</v>
      </c>
      <c r="L3" t="s">
        <v>65</v>
      </c>
    </row>
    <row r="4" spans="1:20" x14ac:dyDescent="0.2">
      <c r="A4" t="s">
        <v>9</v>
      </c>
      <c r="B4">
        <v>509.75</v>
      </c>
      <c r="E4" t="s">
        <v>10</v>
      </c>
      <c r="F4">
        <f>(LN(B4/B5)+(B7-B9+((1/2)*B6^2))*B8)/(B6*SQRT(B8))</f>
        <v>0.19892527699816559</v>
      </c>
      <c r="H4" t="s">
        <v>11</v>
      </c>
      <c r="I4">
        <f>EXP(-B9*(B8-B10))*_xlfn.NORM.DIST(F4,0,1,TRUE)</f>
        <v>0.57713110030677794</v>
      </c>
      <c r="L4" t="s">
        <v>9</v>
      </c>
      <c r="M4">
        <v>509.75</v>
      </c>
      <c r="P4" t="s">
        <v>10</v>
      </c>
      <c r="Q4">
        <f>(LN(M4/M5)+(M7-M9+((1/2)*M6^2))*M8)/(M6*SQRT(M8))</f>
        <v>0.19892527699816559</v>
      </c>
      <c r="S4" t="s">
        <v>11</v>
      </c>
      <c r="T4">
        <f>EXP(-M9*(M8-M10))*_xlfn.NORM.DIST(Q4,0,1,TRUE)</f>
        <v>0.57713110030677794</v>
      </c>
    </row>
    <row r="5" spans="1:20" x14ac:dyDescent="0.2">
      <c r="A5" t="s">
        <v>12</v>
      </c>
      <c r="B5">
        <v>509.75</v>
      </c>
      <c r="E5" t="s">
        <v>13</v>
      </c>
      <c r="F5">
        <f>F4-(B6*SQRT(B8))</f>
        <v>0.13704026033281086</v>
      </c>
      <c r="H5" t="s">
        <v>14</v>
      </c>
      <c r="I5">
        <f>EXP(-B9*(B8-B10))*_xlfn.NORM.DIST(-F4,0,1,TRUE)</f>
        <v>0.41991764678909466</v>
      </c>
      <c r="L5" t="s">
        <v>12</v>
      </c>
      <c r="M5">
        <v>509.75</v>
      </c>
      <c r="P5" t="s">
        <v>13</v>
      </c>
      <c r="Q5">
        <f>Q4-(M6*SQRT(M8))</f>
        <v>0.13704026033281086</v>
      </c>
      <c r="S5" t="s">
        <v>14</v>
      </c>
      <c r="T5">
        <f>EXP(-M9*(M8-M10))*_xlfn.NORM.DIST(-Q4,0,1,TRUE)</f>
        <v>0.41991764678909466</v>
      </c>
    </row>
    <row r="6" spans="1:20" x14ac:dyDescent="0.2">
      <c r="A6" t="s">
        <v>15</v>
      </c>
      <c r="B6" s="5">
        <v>0.1226</v>
      </c>
      <c r="E6" t="s">
        <v>16</v>
      </c>
      <c r="F6">
        <f>B5*EXP(-B7*B8)*_xlfn.NORM.DIST(-F5,0,1,TRUE)-B4*EXP(-B9*B8)*_xlfn.NORM.DIST(-F4,0,1,TRUE)</f>
        <v>10.028516735053273</v>
      </c>
      <c r="L6" t="s">
        <v>15</v>
      </c>
      <c r="M6" s="5">
        <v>0.1226</v>
      </c>
      <c r="P6" t="s">
        <v>16</v>
      </c>
      <c r="Q6">
        <f>M5*EXP(-M7*M8)*_xlfn.NORM.DIST(-Q5,0,1,TRUE)-M4*EXP(-M9*M8)*_xlfn.NORM.DIST(-Q4,0,1,TRUE)</f>
        <v>10.028516735053273</v>
      </c>
    </row>
    <row r="7" spans="1:20" x14ac:dyDescent="0.2">
      <c r="A7" t="s">
        <v>17</v>
      </c>
      <c r="B7">
        <v>5.2400000000000002E-2</v>
      </c>
      <c r="E7" t="s">
        <v>18</v>
      </c>
      <c r="F7">
        <f>B4*EXP(-B9*B8)*_xlfn.NORM.DIST(F4,0,1,TRUE)-B5*EXP(-B7*B8)*_xlfn.NORM.DIST(F5,0,1,TRUE)</f>
        <v>15.284675197841239</v>
      </c>
      <c r="L7" t="s">
        <v>17</v>
      </c>
      <c r="M7">
        <v>5.2400000000000002E-2</v>
      </c>
      <c r="P7" t="s">
        <v>18</v>
      </c>
      <c r="Q7">
        <f>M4*EXP(-M9*M8)*_xlfn.NORM.DIST(Q4,0,1,TRUE)-M5*EXP(-M7*M8)*_xlfn.NORM.DIST(Q5,0,1,TRUE)</f>
        <v>15.284675197841239</v>
      </c>
    </row>
    <row r="8" spans="1:20" x14ac:dyDescent="0.2">
      <c r="A8" t="s">
        <v>20</v>
      </c>
      <c r="B8">
        <f>93/365</f>
        <v>0.25479452054794521</v>
      </c>
      <c r="L8" t="s">
        <v>20</v>
      </c>
      <c r="M8">
        <f>93/365</f>
        <v>0.25479452054794521</v>
      </c>
    </row>
    <row r="9" spans="1:20" x14ac:dyDescent="0.2">
      <c r="A9" t="s">
        <v>22</v>
      </c>
      <c r="B9">
        <v>1.1599999999999999E-2</v>
      </c>
      <c r="L9" t="s">
        <v>22</v>
      </c>
      <c r="M9">
        <v>1.1599999999999999E-2</v>
      </c>
    </row>
    <row r="10" spans="1:20" x14ac:dyDescent="0.2">
      <c r="A10" t="s">
        <v>23</v>
      </c>
      <c r="L10" t="s">
        <v>23</v>
      </c>
    </row>
    <row r="11" spans="1:20" x14ac:dyDescent="0.2">
      <c r="A11" t="s">
        <v>59</v>
      </c>
      <c r="B11">
        <v>100</v>
      </c>
      <c r="L11" t="s">
        <v>59</v>
      </c>
      <c r="M11">
        <v>100</v>
      </c>
    </row>
    <row r="12" spans="1:20" x14ac:dyDescent="0.2">
      <c r="B12" t="s">
        <v>60</v>
      </c>
      <c r="M12" t="s">
        <v>60</v>
      </c>
    </row>
    <row r="13" spans="1:20" x14ac:dyDescent="0.2">
      <c r="A13" t="s">
        <v>61</v>
      </c>
      <c r="B13">
        <f>I5*B11</f>
        <v>41.991764678909469</v>
      </c>
      <c r="D13" t="s">
        <v>62</v>
      </c>
      <c r="E13">
        <f>B14*(EXP(B7/365)-1)</f>
        <v>2.9292195703728292</v>
      </c>
      <c r="L13" t="s">
        <v>61</v>
      </c>
      <c r="M13">
        <f>T4*M11</f>
        <v>57.713110030677797</v>
      </c>
      <c r="O13" t="s">
        <v>62</v>
      </c>
      <c r="P13">
        <f>M14*(EXP(M7/365)-1)</f>
        <v>4.004335133564906</v>
      </c>
    </row>
    <row r="14" spans="1:20" x14ac:dyDescent="0.2">
      <c r="A14" t="s">
        <v>63</v>
      </c>
      <c r="B14">
        <f>B13*B4-F6*B11</f>
        <v>20402.450371568775</v>
      </c>
      <c r="L14" t="s">
        <v>63</v>
      </c>
      <c r="M14">
        <f>M13*M4-Q7*M11</f>
        <v>27890.790318353884</v>
      </c>
    </row>
    <row r="17" spans="1:20" x14ac:dyDescent="0.2">
      <c r="A17" t="s">
        <v>66</v>
      </c>
      <c r="L17" t="s">
        <v>66</v>
      </c>
    </row>
    <row r="19" spans="1:20" ht="18" x14ac:dyDescent="0.2">
      <c r="A19" t="s">
        <v>9</v>
      </c>
      <c r="B19" s="1">
        <v>518.42999999999995</v>
      </c>
      <c r="E19" t="s">
        <v>10</v>
      </c>
      <c r="F19">
        <f>(LN(B19/B20)+(B22-B24+((1/2)*B21^2))*B23)/(B21*SQRT(B23))</f>
        <v>0.60322089989253236</v>
      </c>
      <c r="H19" t="s">
        <v>11</v>
      </c>
      <c r="I19">
        <f>EXP(-B24*(B23-B25))*_xlfn.NORM.DIST(F19,0,1,TRUE)</f>
        <v>0.72541145852237465</v>
      </c>
      <c r="L19" t="s">
        <v>9</v>
      </c>
      <c r="M19" s="1">
        <v>518.42999999999995</v>
      </c>
      <c r="P19" t="s">
        <v>10</v>
      </c>
      <c r="Q19">
        <f>(LN(M19/M20)+(M22-M24+((1/2)*M21^2))*M23)/(M21*SQRT(M23))</f>
        <v>0.60322089989253236</v>
      </c>
      <c r="S19" t="s">
        <v>11</v>
      </c>
      <c r="T19">
        <f>EXP(-M24*(M23-M25))*_xlfn.NORM.DIST(Q19,0,1,TRUE)</f>
        <v>0.72541145852237465</v>
      </c>
    </row>
    <row r="20" spans="1:20" x14ac:dyDescent="0.2">
      <c r="A20" t="s">
        <v>12</v>
      </c>
      <c r="B20">
        <v>509.75</v>
      </c>
      <c r="E20" t="s">
        <v>13</v>
      </c>
      <c r="F20">
        <f>F19-(B21*SQRT(B23))</f>
        <v>0.56258546896611861</v>
      </c>
      <c r="H20" t="s">
        <v>14</v>
      </c>
      <c r="I20">
        <f>EXP(-B24*(B23-B25))*_xlfn.NORM.DIST(-F19,0,1,TRUE)</f>
        <v>0.27265178927030997</v>
      </c>
      <c r="L20" t="s">
        <v>12</v>
      </c>
      <c r="M20">
        <v>509.75</v>
      </c>
      <c r="P20" t="s">
        <v>13</v>
      </c>
      <c r="Q20">
        <f>Q19-(M21*SQRT(M23))</f>
        <v>0.56258546896611861</v>
      </c>
      <c r="S20" t="s">
        <v>14</v>
      </c>
      <c r="T20">
        <f>EXP(-M24*(M23-M25))*_xlfn.NORM.DIST(-Q19,0,1,TRUE)</f>
        <v>0.27265178927030997</v>
      </c>
    </row>
    <row r="21" spans="1:20" ht="18" x14ac:dyDescent="0.2">
      <c r="A21" t="s">
        <v>15</v>
      </c>
      <c r="B21" s="3">
        <v>9.9400000000000002E-2</v>
      </c>
      <c r="E21" t="s">
        <v>16</v>
      </c>
      <c r="F21">
        <f>B20*EXP(-B22*B23)*_xlfn.NORM.DIST(-F20,0,1,TRUE)-B19*EXP(-B24*B23)*_xlfn.NORM.DIST(-F19,0,1,TRUE)</f>
        <v>3.6027740212051924</v>
      </c>
      <c r="L21" t="s">
        <v>15</v>
      </c>
      <c r="M21" s="3">
        <v>9.9400000000000002E-2</v>
      </c>
      <c r="P21" t="s">
        <v>16</v>
      </c>
      <c r="Q21">
        <f>M20*EXP(-M22*M23)*_xlfn.NORM.DIST(-Q20,0,1,TRUE)-M19*EXP(-M24*M23)*_xlfn.NORM.DIST(-Q19,0,1,TRUE)</f>
        <v>3.6027740212051924</v>
      </c>
    </row>
    <row r="22" spans="1:20" x14ac:dyDescent="0.2">
      <c r="A22" t="s">
        <v>17</v>
      </c>
      <c r="B22">
        <v>5.2299999999999999E-2</v>
      </c>
      <c r="E22" t="s">
        <v>18</v>
      </c>
      <c r="F22">
        <f>B19*EXP(-B24*B23)*_xlfn.NORM.DIST(F19,0,1,TRUE)-B20*EXP(-B22*B23)*_xlfn.NORM.DIST(F20,0,1,TRUE)</f>
        <v>15.714782766044948</v>
      </c>
      <c r="L22" t="s">
        <v>17</v>
      </c>
      <c r="M22">
        <v>5.2299999999999999E-2</v>
      </c>
      <c r="P22" t="s">
        <v>18</v>
      </c>
      <c r="Q22">
        <f>M19*EXP(-M24*M23)*_xlfn.NORM.DIST(Q19,0,1,TRUE)-M20*EXP(-M22*M23)*_xlfn.NORM.DIST(Q20,0,1,TRUE)</f>
        <v>15.714782766044948</v>
      </c>
    </row>
    <row r="23" spans="1:20" x14ac:dyDescent="0.2">
      <c r="A23" t="s">
        <v>20</v>
      </c>
      <c r="B23">
        <f>61/365</f>
        <v>0.16712328767123288</v>
      </c>
      <c r="L23" t="s">
        <v>20</v>
      </c>
      <c r="M23">
        <f>61/365</f>
        <v>0.16712328767123288</v>
      </c>
    </row>
    <row r="24" spans="1:20" x14ac:dyDescent="0.2">
      <c r="A24" t="s">
        <v>22</v>
      </c>
      <c r="B24">
        <v>1.1599999999999999E-2</v>
      </c>
      <c r="L24" t="s">
        <v>22</v>
      </c>
      <c r="M24">
        <v>1.1599999999999999E-2</v>
      </c>
    </row>
    <row r="25" spans="1:20" x14ac:dyDescent="0.2">
      <c r="A25" t="s">
        <v>23</v>
      </c>
      <c r="L25" t="s">
        <v>23</v>
      </c>
    </row>
    <row r="26" spans="1:20" x14ac:dyDescent="0.2">
      <c r="A26" t="s">
        <v>59</v>
      </c>
      <c r="B26">
        <v>100</v>
      </c>
      <c r="L26" t="s">
        <v>59</v>
      </c>
      <c r="M26">
        <v>100</v>
      </c>
    </row>
    <row r="28" spans="1:20" x14ac:dyDescent="0.2">
      <c r="A28" t="s">
        <v>64</v>
      </c>
      <c r="B28">
        <f>-I20-(-I5)</f>
        <v>0.14726585751878468</v>
      </c>
      <c r="D28" t="s">
        <v>62</v>
      </c>
      <c r="E28">
        <f>((B19-B4)*I5*100)-((F21-F6)*100)-E13</f>
        <v>1004.1335692273673</v>
      </c>
      <c r="L28" t="s">
        <v>64</v>
      </c>
      <c r="M28">
        <f>-T19-(-T4)</f>
        <v>-0.14828035821559671</v>
      </c>
      <c r="O28" t="s">
        <v>62</v>
      </c>
      <c r="P28">
        <f>((M19-M4)*T4*100)-((Q22-Q7)*100)-P13</f>
        <v>453.93470311234455</v>
      </c>
    </row>
    <row r="29" spans="1:20" x14ac:dyDescent="0.2">
      <c r="A29" t="s">
        <v>61</v>
      </c>
      <c r="B29">
        <f>B28*B26</f>
        <v>14.726585751878469</v>
      </c>
      <c r="L29" t="s">
        <v>61</v>
      </c>
      <c r="M29">
        <f>M28*M26</f>
        <v>-14.82803582155967</v>
      </c>
    </row>
    <row r="30" spans="1:20" x14ac:dyDescent="0.2">
      <c r="A30" t="s">
        <v>63</v>
      </c>
      <c r="B30">
        <f>B29*B19</f>
        <v>7634.703851346354</v>
      </c>
      <c r="L30" t="s">
        <v>63</v>
      </c>
      <c r="M30">
        <f>M29*M19</f>
        <v>-7687.2986109711792</v>
      </c>
    </row>
    <row r="33" spans="1:20" x14ac:dyDescent="0.2">
      <c r="A33" t="s">
        <v>67</v>
      </c>
      <c r="L33" t="s">
        <v>67</v>
      </c>
    </row>
    <row r="35" spans="1:20" ht="18" x14ac:dyDescent="0.2">
      <c r="A35" t="s">
        <v>9</v>
      </c>
      <c r="B35" s="1">
        <v>516.57000000000005</v>
      </c>
      <c r="E35" t="s">
        <v>10</v>
      </c>
      <c r="F35">
        <f>(LN(B35/B36)+(B38-B40+((1/2)*B37^2))*B39)/(B37*SQRT(B39))</f>
        <v>0.46346493914117021</v>
      </c>
      <c r="H35" t="s">
        <v>11</v>
      </c>
      <c r="I35">
        <f>EXP(-B40*(B39-B41))*_xlfn.NORM.DIST(F35,0,1,TRUE)</f>
        <v>0.67783785428560328</v>
      </c>
      <c r="L35" t="s">
        <v>9</v>
      </c>
      <c r="M35" s="1">
        <v>516.57000000000005</v>
      </c>
      <c r="P35" t="s">
        <v>10</v>
      </c>
      <c r="Q35">
        <f>(LN(M35/M36)+(M38-M40+((1/2)*M37^2))*M39)/(M37*SQRT(M39))</f>
        <v>0.46346493914117021</v>
      </c>
      <c r="S35" t="s">
        <v>11</v>
      </c>
      <c r="T35">
        <f>EXP(-M40*(M39-M41))*_xlfn.NORM.DIST(Q35,0,1,TRUE)</f>
        <v>0.67783785428560328</v>
      </c>
    </row>
    <row r="36" spans="1:20" x14ac:dyDescent="0.2">
      <c r="A36" t="s">
        <v>12</v>
      </c>
      <c r="B36">
        <v>509.75</v>
      </c>
      <c r="E36" t="s">
        <v>13</v>
      </c>
      <c r="F36">
        <f>F35-(B37*SQRT(B39))</f>
        <v>0.42602308284718116</v>
      </c>
      <c r="H36" t="s">
        <v>14</v>
      </c>
      <c r="I36">
        <f>EXP(-B40*(B39-B41))*_xlfn.NORM.DIST(-F35,0,1,TRUE)</f>
        <v>0.32120917542173882</v>
      </c>
      <c r="L36" t="s">
        <v>12</v>
      </c>
      <c r="M36">
        <v>509.75</v>
      </c>
      <c r="P36" t="s">
        <v>13</v>
      </c>
      <c r="Q36">
        <f>Q35-(M37*SQRT(M39))</f>
        <v>0.42602308284718116</v>
      </c>
      <c r="S36" t="s">
        <v>14</v>
      </c>
      <c r="T36">
        <f>EXP(-M40*(M39-M41))*_xlfn.NORM.DIST(-Q35,0,1,TRUE)</f>
        <v>0.32120917542173882</v>
      </c>
    </row>
    <row r="37" spans="1:20" ht="18" x14ac:dyDescent="0.2">
      <c r="A37" t="s">
        <v>15</v>
      </c>
      <c r="B37" s="3">
        <v>0.13059999999999999</v>
      </c>
      <c r="E37" t="s">
        <v>16</v>
      </c>
      <c r="F37">
        <f>B36*EXP(-B38*B39)*_xlfn.NORM.DIST(-F36,0,1,TRUE)-B35*EXP(-B40*B39)*_xlfn.NORM.DIST(-F35,0,1,TRUE)</f>
        <v>4.1270461363692448</v>
      </c>
      <c r="L37" t="s">
        <v>15</v>
      </c>
      <c r="M37" s="3">
        <v>0.13059999999999999</v>
      </c>
      <c r="P37" t="s">
        <v>16</v>
      </c>
      <c r="Q37">
        <f>M36*EXP(-M38*M39)*_xlfn.NORM.DIST(-Q36,0,1,TRUE)-M35*EXP(-M40*M39)*_xlfn.NORM.DIST(-Q35,0,1,TRUE)</f>
        <v>4.1270461363692448</v>
      </c>
    </row>
    <row r="38" spans="1:20" x14ac:dyDescent="0.2">
      <c r="A38" t="s">
        <v>17</v>
      </c>
      <c r="B38">
        <v>5.2499999999999998E-2</v>
      </c>
      <c r="E38" t="s">
        <v>18</v>
      </c>
      <c r="F38">
        <f>B35*EXP(-B40*B39)*_xlfn.NORM.DIST(F35,0,1,TRUE)-B36*EXP(-B38*B39)*_xlfn.NORM.DIST(F36,0,1,TRUE)</f>
        <v>12.649637529732331</v>
      </c>
      <c r="L38" t="s">
        <v>17</v>
      </c>
      <c r="M38">
        <v>5.2499999999999998E-2</v>
      </c>
      <c r="P38" t="s">
        <v>18</v>
      </c>
      <c r="Q38">
        <f>M35*EXP(-M40*M39)*_xlfn.NORM.DIST(Q35,0,1,TRUE)-M36*EXP(-M38*M39)*_xlfn.NORM.DIST(Q36,0,1,TRUE)</f>
        <v>12.649637529732331</v>
      </c>
    </row>
    <row r="39" spans="1:20" x14ac:dyDescent="0.2">
      <c r="A39" t="s">
        <v>20</v>
      </c>
      <c r="B39">
        <f>30/365</f>
        <v>8.2191780821917804E-2</v>
      </c>
      <c r="L39" t="s">
        <v>20</v>
      </c>
      <c r="M39">
        <f>30/365</f>
        <v>8.2191780821917804E-2</v>
      </c>
    </row>
    <row r="40" spans="1:20" x14ac:dyDescent="0.2">
      <c r="A40" t="s">
        <v>22</v>
      </c>
      <c r="B40">
        <v>1.1599999999999999E-2</v>
      </c>
      <c r="L40" t="s">
        <v>22</v>
      </c>
      <c r="M40">
        <v>1.1599999999999999E-2</v>
      </c>
    </row>
    <row r="41" spans="1:20" x14ac:dyDescent="0.2">
      <c r="A41" t="s">
        <v>23</v>
      </c>
      <c r="L41" t="s">
        <v>23</v>
      </c>
    </row>
    <row r="42" spans="1:20" x14ac:dyDescent="0.2">
      <c r="A42" t="s">
        <v>59</v>
      </c>
      <c r="B42">
        <v>100</v>
      </c>
      <c r="L42" t="s">
        <v>59</v>
      </c>
      <c r="M42">
        <v>100</v>
      </c>
    </row>
    <row r="44" spans="1:20" x14ac:dyDescent="0.2">
      <c r="A44" t="s">
        <v>64</v>
      </c>
      <c r="B44">
        <f>I36-I20</f>
        <v>4.855738615142885E-2</v>
      </c>
      <c r="D44" t="s">
        <v>62</v>
      </c>
      <c r="E44">
        <f>((B35-B19)*I20*100)-((F37-F21*100)-E28)</f>
        <v>1309.5706924072424</v>
      </c>
      <c r="L44" t="s">
        <v>64</v>
      </c>
      <c r="M44">
        <f>T35-T19</f>
        <v>-4.7573604236771372E-2</v>
      </c>
      <c r="O44" t="s">
        <v>62</v>
      </c>
      <c r="P44">
        <f>((M35-M19)*T19*100)-((Q38-Q22*100)-P28)</f>
        <v>1877.8368109019527</v>
      </c>
    </row>
    <row r="45" spans="1:20" x14ac:dyDescent="0.2">
      <c r="A45" t="s">
        <v>61</v>
      </c>
      <c r="B45">
        <f>B44*B42</f>
        <v>4.8557386151428847</v>
      </c>
      <c r="L45" t="s">
        <v>61</v>
      </c>
      <c r="M45">
        <f>M44*M42</f>
        <v>-4.7573604236771372</v>
      </c>
    </row>
    <row r="46" spans="1:20" x14ac:dyDescent="0.2">
      <c r="A46" t="s">
        <v>63</v>
      </c>
      <c r="B46">
        <f>B45*B35</f>
        <v>2508.3288964243602</v>
      </c>
      <c r="L46" t="s">
        <v>63</v>
      </c>
      <c r="M46">
        <f>M45*M35</f>
        <v>-2457.5096740588988</v>
      </c>
    </row>
    <row r="49" spans="1:20" x14ac:dyDescent="0.2">
      <c r="A49" t="s">
        <v>86</v>
      </c>
      <c r="L49" t="s">
        <v>86</v>
      </c>
    </row>
    <row r="51" spans="1:20" ht="18" x14ac:dyDescent="0.2">
      <c r="A51" t="s">
        <v>9</v>
      </c>
      <c r="B51" s="1">
        <v>534.66</v>
      </c>
      <c r="E51" t="s">
        <v>10</v>
      </c>
      <c r="F51">
        <f>(LN(B51/B52)+(B54-B56+((1/2)*B53^2))*B55)/(B53*SQRT(B55))</f>
        <v>1.7132627589853582</v>
      </c>
      <c r="H51" t="s">
        <v>11</v>
      </c>
      <c r="I51">
        <f>EXP(-B56*(B55-B57))*_xlfn.NORM.DIST(F51,0,1,TRUE)</f>
        <v>0.95575621872884042</v>
      </c>
      <c r="L51" t="s">
        <v>9</v>
      </c>
      <c r="M51" s="1">
        <v>534.66</v>
      </c>
      <c r="P51" t="s">
        <v>10</v>
      </c>
      <c r="Q51">
        <f>(LN(M51/M52)+(M54-M56+((1/2)*M53^2))*M55)/(M53*SQRT(M55))</f>
        <v>1.7132627589853582</v>
      </c>
      <c r="S51" t="s">
        <v>11</v>
      </c>
      <c r="T51">
        <f>EXP(-M56*(M55-M57))*_xlfn.NORM.DIST(Q51,0,1,TRUE)</f>
        <v>0.95575621872884042</v>
      </c>
    </row>
    <row r="52" spans="1:20" x14ac:dyDescent="0.2">
      <c r="A52" t="s">
        <v>12</v>
      </c>
      <c r="B52">
        <v>509.75</v>
      </c>
      <c r="E52" t="s">
        <v>13</v>
      </c>
      <c r="F52">
        <f>F51-(B53*SQRT(B55))</f>
        <v>1.68318886369256</v>
      </c>
      <c r="H52" t="s">
        <v>14</v>
      </c>
      <c r="I52">
        <f>EXP(-B56*(B55-B57))*_xlfn.NORM.DIST(-F51,0,1,TRUE)</f>
        <v>4.3290810978501709E-2</v>
      </c>
      <c r="L52" t="s">
        <v>12</v>
      </c>
      <c r="M52">
        <v>509.75</v>
      </c>
      <c r="P52" t="s">
        <v>13</v>
      </c>
      <c r="Q52">
        <f>Q51-(M53*SQRT(M55))</f>
        <v>1.68318886369256</v>
      </c>
      <c r="S52" t="s">
        <v>14</v>
      </c>
      <c r="T52">
        <f>EXP(-M56*(M55-M57))*_xlfn.NORM.DIST(-Q51,0,1,TRUE)</f>
        <v>4.3290810978501709E-2</v>
      </c>
    </row>
    <row r="53" spans="1:20" x14ac:dyDescent="0.2">
      <c r="A53" t="s">
        <v>15</v>
      </c>
      <c r="B53">
        <v>0.10489999999999999</v>
      </c>
      <c r="E53" t="s">
        <v>16</v>
      </c>
      <c r="F53">
        <f>B52*EXP(-B54*B55)*_xlfn.NORM.DIST(-F52,0,1,TRUE)-B51*EXP(-B56*B55)*_xlfn.NORM.DIST(-F51,0,1,TRUE)</f>
        <v>0.28758393942217708</v>
      </c>
      <c r="L53" t="s">
        <v>15</v>
      </c>
      <c r="M53">
        <v>0.10489999999999999</v>
      </c>
      <c r="P53" t="s">
        <v>16</v>
      </c>
      <c r="Q53">
        <f>M52*EXP(-M54*M55)*_xlfn.NORM.DIST(-Q52,0,1,TRUE)-M51*EXP(-M56*M55)*_xlfn.NORM.DIST(-Q51,0,1,TRUE)</f>
        <v>0.28758393942217708</v>
      </c>
    </row>
    <row r="54" spans="1:20" x14ac:dyDescent="0.2">
      <c r="A54" t="s">
        <v>17</v>
      </c>
      <c r="B54">
        <v>5.2499999999999998E-2</v>
      </c>
      <c r="E54" t="s">
        <v>18</v>
      </c>
      <c r="F54">
        <f>B51*EXP(-B56*B55)*_xlfn.NORM.DIST(F51,0,1,TRUE)-B52*EXP(-B54*B55)*_xlfn.NORM.DIST(F52,0,1,TRUE)</f>
        <v>26.882936100190989</v>
      </c>
      <c r="L54" t="s">
        <v>17</v>
      </c>
      <c r="M54">
        <v>5.2499999999999998E-2</v>
      </c>
      <c r="P54" t="s">
        <v>18</v>
      </c>
      <c r="Q54">
        <f>M51*EXP(-M56*M55)*_xlfn.NORM.DIST(Q51,0,1,TRUE)-M52*EXP(-M54*M55)*_xlfn.NORM.DIST(Q52,0,1,TRUE)</f>
        <v>26.882936100190989</v>
      </c>
    </row>
    <row r="55" spans="1:20" x14ac:dyDescent="0.2">
      <c r="A55" t="s">
        <v>20</v>
      </c>
      <c r="B55">
        <f>30/365</f>
        <v>8.2191780821917804E-2</v>
      </c>
      <c r="L55" t="s">
        <v>20</v>
      </c>
      <c r="M55">
        <f>30/365</f>
        <v>8.2191780821917804E-2</v>
      </c>
    </row>
    <row r="56" spans="1:20" x14ac:dyDescent="0.2">
      <c r="A56" t="s">
        <v>22</v>
      </c>
      <c r="B56">
        <v>1.1599999999999999E-2</v>
      </c>
      <c r="L56" t="s">
        <v>22</v>
      </c>
      <c r="M56">
        <v>1.1599999999999999E-2</v>
      </c>
    </row>
    <row r="57" spans="1:20" x14ac:dyDescent="0.2">
      <c r="A57" t="s">
        <v>23</v>
      </c>
      <c r="L57" t="s">
        <v>23</v>
      </c>
    </row>
    <row r="58" spans="1:20" x14ac:dyDescent="0.2">
      <c r="A58" t="s">
        <v>59</v>
      </c>
      <c r="B58">
        <v>100</v>
      </c>
      <c r="L58" t="s">
        <v>59</v>
      </c>
      <c r="M58">
        <v>100</v>
      </c>
    </row>
    <row r="60" spans="1:20" x14ac:dyDescent="0.2">
      <c r="A60" t="s">
        <v>64</v>
      </c>
      <c r="B60">
        <f>I52-I36</f>
        <v>-0.27791836444323714</v>
      </c>
      <c r="D60" t="s">
        <v>62</v>
      </c>
      <c r="E60">
        <f>((B51-B35)*I36*100)-((F53-F37*100)-E44)</f>
        <v>2303.0551204426674</v>
      </c>
      <c r="L60" t="s">
        <v>64</v>
      </c>
      <c r="M60">
        <f>T51-T35</f>
        <v>0.27791836444323714</v>
      </c>
      <c r="O60" t="s">
        <v>62</v>
      </c>
      <c r="P60">
        <f>((M51-M35)*T35*100)-((Q54-Q38*100)-P44)</f>
        <v>4342.1263061776453</v>
      </c>
    </row>
    <row r="61" spans="1:20" x14ac:dyDescent="0.2">
      <c r="A61" t="s">
        <v>61</v>
      </c>
      <c r="B61">
        <f>B60*B58</f>
        <v>-27.791836444323714</v>
      </c>
      <c r="L61" t="s">
        <v>61</v>
      </c>
      <c r="M61">
        <f>M60*M58</f>
        <v>27.791836444323714</v>
      </c>
    </row>
    <row r="62" spans="1:20" x14ac:dyDescent="0.2">
      <c r="A62" t="s">
        <v>63</v>
      </c>
      <c r="B62">
        <f>B61*B51</f>
        <v>-14859.183273322116</v>
      </c>
      <c r="L62" t="s">
        <v>63</v>
      </c>
      <c r="M62">
        <f>M61*M51</f>
        <v>14859.183273322116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17178-5044-A84D-96D2-721BA1455E5E}">
  <dimension ref="A1:T62"/>
  <sheetViews>
    <sheetView workbookViewId="0">
      <selection activeCell="M55" sqref="M55"/>
    </sheetView>
  </sheetViews>
  <sheetFormatPr baseColWidth="10" defaultRowHeight="16" x14ac:dyDescent="0.2"/>
  <cols>
    <col min="1" max="1" width="17" bestFit="1" customWidth="1"/>
    <col min="4" max="4" width="18.5" bestFit="1" customWidth="1"/>
    <col min="12" max="12" width="17" bestFit="1" customWidth="1"/>
    <col min="15" max="15" width="18.5" bestFit="1" customWidth="1"/>
  </cols>
  <sheetData>
    <row r="1" spans="1:20" x14ac:dyDescent="0.2">
      <c r="A1" s="4" t="s">
        <v>58</v>
      </c>
    </row>
    <row r="2" spans="1:20" x14ac:dyDescent="0.2">
      <c r="A2" t="s">
        <v>76</v>
      </c>
      <c r="L2" t="s">
        <v>75</v>
      </c>
    </row>
    <row r="3" spans="1:20" x14ac:dyDescent="0.2">
      <c r="A3" t="s">
        <v>77</v>
      </c>
      <c r="L3" t="s">
        <v>77</v>
      </c>
    </row>
    <row r="4" spans="1:20" x14ac:dyDescent="0.2">
      <c r="A4" t="s">
        <v>9</v>
      </c>
      <c r="B4">
        <v>545.34</v>
      </c>
      <c r="E4" t="s">
        <v>10</v>
      </c>
      <c r="F4">
        <f>(LN(B4/B5)+(B7-B9+((1/2)*B6^2))*B8)/(B6*SQRT(B8))</f>
        <v>0.29593514320410125</v>
      </c>
      <c r="H4" t="s">
        <v>11</v>
      </c>
      <c r="I4">
        <f>EXP(-B9*(B8-B10))*_xlfn.NORM.DIST(F4,0,1,TRUE)</f>
        <v>0.61454115915764829</v>
      </c>
      <c r="L4" t="s">
        <v>9</v>
      </c>
      <c r="M4">
        <v>545.34</v>
      </c>
      <c r="P4" t="s">
        <v>10</v>
      </c>
      <c r="Q4">
        <f>(LN(M4/M5)+(M7-M9+((1/2)*M6^2))*M8)/(M6*SQRT(M8))</f>
        <v>0.29593514320410125</v>
      </c>
      <c r="S4" t="s">
        <v>11</v>
      </c>
      <c r="T4">
        <f>EXP(-M9*(M8-M10))*_xlfn.NORM.DIST(Q4,0,1,TRUE)</f>
        <v>0.61454115915764829</v>
      </c>
    </row>
    <row r="5" spans="1:20" x14ac:dyDescent="0.2">
      <c r="A5" t="s">
        <v>12</v>
      </c>
      <c r="B5">
        <v>545.34</v>
      </c>
      <c r="E5" t="s">
        <v>13</v>
      </c>
      <c r="F5">
        <f>F4-(B6*SQRT(B8))</f>
        <v>0.25843060210919211</v>
      </c>
      <c r="H5" t="s">
        <v>14</v>
      </c>
      <c r="I5">
        <f>EXP(-B9*(B8-B10))*_xlfn.NORM.DIST(-F4,0,1,TRUE)</f>
        <v>0.38250758793822437</v>
      </c>
      <c r="L5" t="s">
        <v>12</v>
      </c>
      <c r="M5">
        <v>545.34</v>
      </c>
      <c r="P5" t="s">
        <v>13</v>
      </c>
      <c r="Q5">
        <f>Q4-(M6*SQRT(M8))</f>
        <v>0.25843060210919211</v>
      </c>
      <c r="S5" t="s">
        <v>14</v>
      </c>
      <c r="T5">
        <f>EXP(-M9*(M8-M10))*_xlfn.NORM.DIST(-Q4,0,1,TRUE)</f>
        <v>0.38250758793822437</v>
      </c>
    </row>
    <row r="6" spans="1:20" x14ac:dyDescent="0.2">
      <c r="A6" t="s">
        <v>15</v>
      </c>
      <c r="B6">
        <v>7.4300000000000005E-2</v>
      </c>
      <c r="E6" t="s">
        <v>16</v>
      </c>
      <c r="F6">
        <f>B5*EXP(-B7*B8)*_xlfn.NORM.DIST(-F5,0,1,TRUE)-B4*EXP(-B9*B8)*_xlfn.NORM.DIST(-F4,0,1,TRUE)</f>
        <v>5.5901401256351733</v>
      </c>
      <c r="L6" t="s">
        <v>15</v>
      </c>
      <c r="M6">
        <v>7.4300000000000005E-2</v>
      </c>
      <c r="P6" t="s">
        <v>16</v>
      </c>
      <c r="Q6">
        <f>M5*EXP(-M7*M8)*_xlfn.NORM.DIST(-Q5,0,1,TRUE)-M4*EXP(-M9*M8)*_xlfn.NORM.DIST(-Q4,0,1,TRUE)</f>
        <v>5.5901401256351733</v>
      </c>
    </row>
    <row r="7" spans="1:20" x14ac:dyDescent="0.2">
      <c r="A7" t="s">
        <v>17</v>
      </c>
      <c r="B7">
        <v>5.2400000000000002E-2</v>
      </c>
      <c r="E7" t="s">
        <v>18</v>
      </c>
      <c r="F7">
        <f>B4*EXP(-B9*B8)*_xlfn.NORM.DIST(F4,0,1,TRUE)-B5*EXP(-B7*B8)*_xlfn.NORM.DIST(F5,0,1,TRUE)</f>
        <v>11.213275890415559</v>
      </c>
      <c r="L7" t="s">
        <v>17</v>
      </c>
      <c r="M7">
        <v>5.2400000000000002E-2</v>
      </c>
      <c r="P7" t="s">
        <v>18</v>
      </c>
      <c r="Q7">
        <f>M4*EXP(-M9*M8)*_xlfn.NORM.DIST(Q4,0,1,TRUE)-M5*EXP(-M7*M8)*_xlfn.NORM.DIST(Q5,0,1,TRUE)</f>
        <v>11.213275890415559</v>
      </c>
    </row>
    <row r="8" spans="1:20" x14ac:dyDescent="0.2">
      <c r="A8" t="s">
        <v>20</v>
      </c>
      <c r="B8">
        <f>93/365</f>
        <v>0.25479452054794521</v>
      </c>
      <c r="L8" t="s">
        <v>20</v>
      </c>
      <c r="M8">
        <f>93/365</f>
        <v>0.25479452054794521</v>
      </c>
    </row>
    <row r="9" spans="1:20" x14ac:dyDescent="0.2">
      <c r="A9" t="s">
        <v>22</v>
      </c>
      <c r="B9">
        <v>1.1599999999999999E-2</v>
      </c>
      <c r="L9" t="s">
        <v>22</v>
      </c>
      <c r="M9">
        <v>1.1599999999999999E-2</v>
      </c>
    </row>
    <row r="10" spans="1:20" x14ac:dyDescent="0.2">
      <c r="A10" t="s">
        <v>23</v>
      </c>
      <c r="L10" t="s">
        <v>23</v>
      </c>
    </row>
    <row r="11" spans="1:20" x14ac:dyDescent="0.2">
      <c r="A11" t="s">
        <v>59</v>
      </c>
      <c r="B11">
        <v>100</v>
      </c>
      <c r="L11" t="s">
        <v>59</v>
      </c>
      <c r="M11">
        <v>100</v>
      </c>
    </row>
    <row r="12" spans="1:20" x14ac:dyDescent="0.2">
      <c r="B12" t="s">
        <v>60</v>
      </c>
      <c r="M12" t="s">
        <v>60</v>
      </c>
    </row>
    <row r="13" spans="1:20" x14ac:dyDescent="0.2">
      <c r="A13" t="s">
        <v>61</v>
      </c>
      <c r="B13">
        <f>I5*B11</f>
        <v>38.250758793822435</v>
      </c>
      <c r="D13" t="s">
        <v>62</v>
      </c>
      <c r="E13">
        <f>B14*(EXP(B7/365)-1)</f>
        <v>2.9146045800181364</v>
      </c>
      <c r="L13" t="s">
        <v>61</v>
      </c>
      <c r="M13">
        <f>T4*M11</f>
        <v>61.454115915764831</v>
      </c>
      <c r="O13" t="s">
        <v>62</v>
      </c>
      <c r="P13">
        <f>M14*(EXP(M7/365)-1)</f>
        <v>4.6505911938596176</v>
      </c>
    </row>
    <row r="14" spans="1:20" x14ac:dyDescent="0.2">
      <c r="A14" t="s">
        <v>63</v>
      </c>
      <c r="B14">
        <f>B13*B4-F6*B11</f>
        <v>20300.654788059608</v>
      </c>
      <c r="L14" t="s">
        <v>63</v>
      </c>
      <c r="M14">
        <f>M13*M4-Q7*M11</f>
        <v>32392.059984461641</v>
      </c>
    </row>
    <row r="17" spans="1:20" x14ac:dyDescent="0.2">
      <c r="A17" t="s">
        <v>78</v>
      </c>
      <c r="L17" t="s">
        <v>78</v>
      </c>
    </row>
    <row r="19" spans="1:20" x14ac:dyDescent="0.2">
      <c r="A19" t="s">
        <v>9</v>
      </c>
      <c r="B19">
        <v>543.01</v>
      </c>
      <c r="E19" t="s">
        <v>10</v>
      </c>
      <c r="F19">
        <f>(LN(B19/B20)+(B22-B24+((1/2)*B21^2))*B23)/(B21*SQRT(B23))</f>
        <v>7.265638276725489E-2</v>
      </c>
      <c r="H19" t="s">
        <v>11</v>
      </c>
      <c r="I19">
        <f>EXP(-B24*(B23-B25))*_xlfn.NORM.DIST(F19,0,1,TRUE)</f>
        <v>0.52793575598675124</v>
      </c>
      <c r="L19" t="s">
        <v>9</v>
      </c>
      <c r="M19">
        <v>543.01</v>
      </c>
      <c r="P19" t="s">
        <v>10</v>
      </c>
      <c r="Q19">
        <f>(LN(M19/M20)+(M22-M24+((1/2)*M21^2))*M23)/(M21*SQRT(M23))</f>
        <v>7.265638276725489E-2</v>
      </c>
      <c r="S19" t="s">
        <v>11</v>
      </c>
      <c r="T19">
        <f>EXP(-M24*(M23-M25))*_xlfn.NORM.DIST(Q19,0,1,TRUE)</f>
        <v>0.52793575598675124</v>
      </c>
    </row>
    <row r="20" spans="1:20" x14ac:dyDescent="0.2">
      <c r="A20" t="s">
        <v>12</v>
      </c>
      <c r="B20">
        <v>545.34</v>
      </c>
      <c r="E20" t="s">
        <v>13</v>
      </c>
      <c r="F20">
        <f>F19-(B21*SQRT(B23))</f>
        <v>2.4621542386433819E-2</v>
      </c>
      <c r="H20" t="s">
        <v>14</v>
      </c>
      <c r="I20">
        <f>EXP(-B24*(B23-B25))*_xlfn.NORM.DIST(-F19,0,1,TRUE)</f>
        <v>0.47012749180593338</v>
      </c>
      <c r="L20" t="s">
        <v>12</v>
      </c>
      <c r="M20">
        <v>545.34</v>
      </c>
      <c r="P20" t="s">
        <v>13</v>
      </c>
      <c r="Q20">
        <f>Q19-(M21*SQRT(M23))</f>
        <v>2.4621542386433819E-2</v>
      </c>
      <c r="S20" t="s">
        <v>14</v>
      </c>
      <c r="T20">
        <f>EXP(-M24*(M23-M25))*_xlfn.NORM.DIST(-Q19,0,1,TRUE)</f>
        <v>0.47012749180593338</v>
      </c>
    </row>
    <row r="21" spans="1:20" x14ac:dyDescent="0.2">
      <c r="A21" t="s">
        <v>15</v>
      </c>
      <c r="B21">
        <v>0.11749999999999999</v>
      </c>
      <c r="E21" t="s">
        <v>16</v>
      </c>
      <c r="F21">
        <f>B20*EXP(-B22*B23)*_xlfn.NORM.DIST(-F20,0,1,TRUE)-B19*EXP(-B24*B23)*_xlfn.NORM.DIST(-F19,0,1,TRUE)</f>
        <v>9.7523992132169042</v>
      </c>
      <c r="L21" t="s">
        <v>15</v>
      </c>
      <c r="M21">
        <v>0.11749999999999999</v>
      </c>
      <c r="P21" t="s">
        <v>16</v>
      </c>
      <c r="Q21">
        <f>M20*EXP(-M22*M23)*_xlfn.NORM.DIST(-Q20,0,1,TRUE)-M19*EXP(-M24*M23)*_xlfn.NORM.DIST(-Q19,0,1,TRUE)</f>
        <v>9.7523992132169042</v>
      </c>
    </row>
    <row r="22" spans="1:20" x14ac:dyDescent="0.2">
      <c r="A22" t="s">
        <v>17</v>
      </c>
      <c r="B22">
        <v>5.1200000000000002E-2</v>
      </c>
      <c r="E22" t="s">
        <v>18</v>
      </c>
      <c r="F22">
        <f>B19*EXP(-B24*B23)*_xlfn.NORM.DIST(F19,0,1,TRUE)-B20*EXP(-B22*B23)*_xlfn.NORM.DIST(F20,0,1,TRUE)</f>
        <v>11.017133551191591</v>
      </c>
      <c r="L22" t="s">
        <v>17</v>
      </c>
      <c r="M22">
        <v>5.1200000000000002E-2</v>
      </c>
      <c r="P22" t="s">
        <v>18</v>
      </c>
      <c r="Q22">
        <f>M19*EXP(-M24*M23)*_xlfn.NORM.DIST(Q19,0,1,TRUE)-M20*EXP(-M22*M23)*_xlfn.NORM.DIST(Q20,0,1,TRUE)</f>
        <v>11.017133551191591</v>
      </c>
    </row>
    <row r="23" spans="1:20" x14ac:dyDescent="0.2">
      <c r="A23" t="s">
        <v>20</v>
      </c>
      <c r="B23">
        <f>61/365</f>
        <v>0.16712328767123288</v>
      </c>
      <c r="L23" t="s">
        <v>20</v>
      </c>
      <c r="M23">
        <f>61/365</f>
        <v>0.16712328767123288</v>
      </c>
    </row>
    <row r="24" spans="1:20" x14ac:dyDescent="0.2">
      <c r="A24" t="s">
        <v>22</v>
      </c>
      <c r="B24">
        <v>1.1599999999999999E-2</v>
      </c>
      <c r="L24" t="s">
        <v>22</v>
      </c>
      <c r="M24">
        <v>1.1599999999999999E-2</v>
      </c>
    </row>
    <row r="25" spans="1:20" x14ac:dyDescent="0.2">
      <c r="A25" t="s">
        <v>23</v>
      </c>
      <c r="L25" t="s">
        <v>23</v>
      </c>
    </row>
    <row r="26" spans="1:20" x14ac:dyDescent="0.2">
      <c r="A26" t="s">
        <v>59</v>
      </c>
      <c r="B26">
        <v>100</v>
      </c>
      <c r="L26" t="s">
        <v>59</v>
      </c>
      <c r="M26">
        <v>100</v>
      </c>
    </row>
    <row r="28" spans="1:20" x14ac:dyDescent="0.2">
      <c r="A28" t="s">
        <v>64</v>
      </c>
      <c r="B28">
        <f>-I20-(-I5)</f>
        <v>-8.7619903867709015E-2</v>
      </c>
      <c r="D28" t="s">
        <v>62</v>
      </c>
      <c r="E28">
        <f>((B19-B4)*I5*100)-((F21-F6)*100)-E13</f>
        <v>-508.26478132779908</v>
      </c>
      <c r="L28" t="s">
        <v>64</v>
      </c>
      <c r="M28">
        <f>-T19-(-T4)</f>
        <v>8.6605403170897044E-2</v>
      </c>
      <c r="O28" t="s">
        <v>62</v>
      </c>
      <c r="P28">
        <f>((M19-M4)*T4*100)-((Q22-Q7)*100)-P13</f>
        <v>-128.22444735519736</v>
      </c>
    </row>
    <row r="29" spans="1:20" x14ac:dyDescent="0.2">
      <c r="A29" t="s">
        <v>61</v>
      </c>
      <c r="B29">
        <f>B28*B26</f>
        <v>-8.7619903867709006</v>
      </c>
      <c r="L29" t="s">
        <v>61</v>
      </c>
      <c r="M29">
        <f>M28*M26</f>
        <v>8.6605403170897048</v>
      </c>
    </row>
    <row r="30" spans="1:20" x14ac:dyDescent="0.2">
      <c r="A30" t="s">
        <v>63</v>
      </c>
      <c r="B30">
        <f>B29*B19</f>
        <v>-4757.8483999204664</v>
      </c>
      <c r="L30" t="s">
        <v>63</v>
      </c>
      <c r="M30">
        <f>M29*M19</f>
        <v>4702.7599975828807</v>
      </c>
    </row>
    <row r="33" spans="1:20" x14ac:dyDescent="0.2">
      <c r="A33" t="s">
        <v>79</v>
      </c>
      <c r="L33" t="s">
        <v>79</v>
      </c>
    </row>
    <row r="35" spans="1:20" x14ac:dyDescent="0.2">
      <c r="A35" t="s">
        <v>9</v>
      </c>
      <c r="B35">
        <v>552.08000000000004</v>
      </c>
      <c r="E35" t="s">
        <v>10</v>
      </c>
      <c r="F35">
        <f>(LN(B35/B36)+(B38-B40+((1/2)*B37^2))*B39)/(B37*SQRT(B39))</f>
        <v>0.31103947481701905</v>
      </c>
      <c r="H35" t="s">
        <v>11</v>
      </c>
      <c r="I35">
        <f>EXP(-B40*(B39-B41))*_xlfn.NORM.DIST(F35,0,1,TRUE)</f>
        <v>0.62152183697659058</v>
      </c>
      <c r="L35" t="s">
        <v>9</v>
      </c>
      <c r="M35">
        <v>552.08000000000004</v>
      </c>
      <c r="P35" t="s">
        <v>10</v>
      </c>
      <c r="Q35">
        <f>(LN(M35/M36)+(M38-M40+((1/2)*M37^2))*M39)/(M37*SQRT(M39))</f>
        <v>0.31103947481701905</v>
      </c>
      <c r="S35" t="s">
        <v>11</v>
      </c>
      <c r="T35">
        <f>EXP(-M40*(M39-M41))*_xlfn.NORM.DIST(Q35,0,1,TRUE)</f>
        <v>0.62152183697659058</v>
      </c>
    </row>
    <row r="36" spans="1:20" x14ac:dyDescent="0.2">
      <c r="A36" t="s">
        <v>12</v>
      </c>
      <c r="B36">
        <v>545.34</v>
      </c>
      <c r="E36" t="s">
        <v>13</v>
      </c>
      <c r="F36">
        <f>F35-(B37*SQRT(B39))</f>
        <v>0.25674018245804875</v>
      </c>
      <c r="H36" t="s">
        <v>14</v>
      </c>
      <c r="I36">
        <f>EXP(-B40*(B39-B41))*_xlfn.NORM.DIST(-F35,0,1,TRUE)</f>
        <v>0.37752519273075158</v>
      </c>
      <c r="L36" t="s">
        <v>12</v>
      </c>
      <c r="M36">
        <v>545.34</v>
      </c>
      <c r="P36" t="s">
        <v>13</v>
      </c>
      <c r="Q36">
        <f>Q35-(M37*SQRT(M39))</f>
        <v>0.25674018245804875</v>
      </c>
      <c r="S36" t="s">
        <v>14</v>
      </c>
      <c r="T36">
        <f>EXP(-M40*(M39-M41))*_xlfn.NORM.DIST(-Q35,0,1,TRUE)</f>
        <v>0.37752519273075158</v>
      </c>
    </row>
    <row r="37" spans="1:20" x14ac:dyDescent="0.2">
      <c r="A37" t="s">
        <v>15</v>
      </c>
      <c r="B37">
        <v>0.18940000000000001</v>
      </c>
      <c r="E37" t="s">
        <v>16</v>
      </c>
      <c r="F37">
        <f>B36*EXP(-B38*B39)*_xlfn.NORM.DIST(-F36,0,1,TRUE)-B35*EXP(-B40*B39)*_xlfn.NORM.DIST(-F35,0,1,TRUE)</f>
        <v>8.1109788360698474</v>
      </c>
      <c r="L37" t="s">
        <v>15</v>
      </c>
      <c r="M37">
        <v>0.18940000000000001</v>
      </c>
      <c r="P37" t="s">
        <v>16</v>
      </c>
      <c r="Q37">
        <f>M36*EXP(-M38*M39)*_xlfn.NORM.DIST(-Q36,0,1,TRUE)-M35*EXP(-M40*M39)*_xlfn.NORM.DIST(-Q35,0,1,TRUE)</f>
        <v>8.1109788360698474</v>
      </c>
    </row>
    <row r="38" spans="1:20" x14ac:dyDescent="0.2">
      <c r="A38" t="s">
        <v>17</v>
      </c>
      <c r="B38">
        <v>4.9700000000000001E-2</v>
      </c>
      <c r="E38" t="s">
        <v>18</v>
      </c>
      <c r="F38">
        <f>B35*EXP(-B40*B39)*_xlfn.NORM.DIST(F35,0,1,TRUE)-B36*EXP(-B38*B39)*_xlfn.NORM.DIST(F36,0,1,TRUE)</f>
        <v>16.547995780879376</v>
      </c>
      <c r="L38" t="s">
        <v>17</v>
      </c>
      <c r="M38">
        <v>4.9700000000000001E-2</v>
      </c>
      <c r="P38" t="s">
        <v>18</v>
      </c>
      <c r="Q38">
        <f>M35*EXP(-M40*M39)*_xlfn.NORM.DIST(Q35,0,1,TRUE)-M36*EXP(-M38*M39)*_xlfn.NORM.DIST(Q36,0,1,TRUE)</f>
        <v>16.547995780879376</v>
      </c>
    </row>
    <row r="39" spans="1:20" x14ac:dyDescent="0.2">
      <c r="A39" t="s">
        <v>20</v>
      </c>
      <c r="B39">
        <f>30/365</f>
        <v>8.2191780821917804E-2</v>
      </c>
      <c r="L39" t="s">
        <v>20</v>
      </c>
      <c r="M39">
        <f>30/365</f>
        <v>8.2191780821917804E-2</v>
      </c>
    </row>
    <row r="40" spans="1:20" x14ac:dyDescent="0.2">
      <c r="A40" t="s">
        <v>22</v>
      </c>
      <c r="B40">
        <v>1.1599999999999999E-2</v>
      </c>
      <c r="L40" t="s">
        <v>22</v>
      </c>
      <c r="M40">
        <v>1.1599999999999999E-2</v>
      </c>
    </row>
    <row r="41" spans="1:20" x14ac:dyDescent="0.2">
      <c r="A41" t="s">
        <v>23</v>
      </c>
      <c r="L41" t="s">
        <v>23</v>
      </c>
    </row>
    <row r="42" spans="1:20" x14ac:dyDescent="0.2">
      <c r="A42" t="s">
        <v>59</v>
      </c>
      <c r="B42">
        <v>100</v>
      </c>
      <c r="L42" t="s">
        <v>59</v>
      </c>
      <c r="M42">
        <v>100</v>
      </c>
    </row>
    <row r="44" spans="1:20" x14ac:dyDescent="0.2">
      <c r="A44" t="s">
        <v>64</v>
      </c>
      <c r="B44">
        <f>I36-I20</f>
        <v>-9.2602299075181804E-2</v>
      </c>
      <c r="D44" t="s">
        <v>62</v>
      </c>
      <c r="E44">
        <f>((B35-B19)*I20*100)-((F37-F21*100)-E28)</f>
        <v>885.26979622580529</v>
      </c>
      <c r="L44" t="s">
        <v>64</v>
      </c>
      <c r="M44">
        <f>T35-T19</f>
        <v>9.3586080989839338E-2</v>
      </c>
      <c r="O44" t="s">
        <v>62</v>
      </c>
      <c r="P44">
        <f>((M35-M19)*T19*100)-((Q38-Q22*100)-P28)</f>
        <v>1435.7786426630685</v>
      </c>
    </row>
    <row r="45" spans="1:20" x14ac:dyDescent="0.2">
      <c r="A45" t="s">
        <v>61</v>
      </c>
      <c r="B45">
        <f>B44*B42</f>
        <v>-9.2602299075181804</v>
      </c>
      <c r="L45" t="s">
        <v>61</v>
      </c>
      <c r="M45">
        <f>M44*M42</f>
        <v>9.3586080989839342</v>
      </c>
    </row>
    <row r="46" spans="1:20" x14ac:dyDescent="0.2">
      <c r="A46" t="s">
        <v>63</v>
      </c>
      <c r="B46">
        <f>B45*B35</f>
        <v>-5112.3877273426378</v>
      </c>
      <c r="L46" t="s">
        <v>63</v>
      </c>
      <c r="M46">
        <f>M45*M35</f>
        <v>5166.7003592870506</v>
      </c>
    </row>
    <row r="49" spans="1:20" x14ac:dyDescent="0.2">
      <c r="A49" t="s">
        <v>80</v>
      </c>
      <c r="L49" t="s">
        <v>80</v>
      </c>
    </row>
    <row r="51" spans="1:20" x14ac:dyDescent="0.2">
      <c r="A51" t="s">
        <v>9</v>
      </c>
      <c r="B51">
        <v>568.62</v>
      </c>
      <c r="E51" t="s">
        <v>10</v>
      </c>
      <c r="F51">
        <f>(LN(B51/B52)+(B54-B56+((1/2)*B53^2))*B55)/(B53*SQRT(B55))</f>
        <v>1.2464905005659468</v>
      </c>
      <c r="H51" t="s">
        <v>11</v>
      </c>
      <c r="I51">
        <f>EXP(-B56*(B55-B57))*_xlfn.NORM.DIST(F51,0,1,TRUE)</f>
        <v>0.89285613572915667</v>
      </c>
      <c r="L51" t="s">
        <v>9</v>
      </c>
      <c r="M51">
        <v>568.62</v>
      </c>
      <c r="P51" t="s">
        <v>10</v>
      </c>
      <c r="Q51">
        <f>(LN(M51/M52)+(M54-M56+((1/2)*M53^2))*M55)/(M53*SQRT(M55))</f>
        <v>1.2464905005659468</v>
      </c>
      <c r="S51" t="s">
        <v>11</v>
      </c>
      <c r="T51">
        <f>EXP(-M56*(M55-M57))*_xlfn.NORM.DIST(Q51,0,1,TRUE)</f>
        <v>0.89285613572915667</v>
      </c>
    </row>
    <row r="52" spans="1:20" x14ac:dyDescent="0.2">
      <c r="A52" t="s">
        <v>12</v>
      </c>
      <c r="B52">
        <v>545.34</v>
      </c>
      <c r="E52" t="s">
        <v>13</v>
      </c>
      <c r="F52">
        <f>F51-(B53*SQRT(B55))</f>
        <v>1.2102240777390738</v>
      </c>
      <c r="H52" t="s">
        <v>14</v>
      </c>
      <c r="I52">
        <f>EXP(-B56*(B55-B57))*_xlfn.NORM.DIST(-F51,0,1,TRUE)</f>
        <v>0.1061908939781855</v>
      </c>
      <c r="L52" t="s">
        <v>12</v>
      </c>
      <c r="M52">
        <v>545.34</v>
      </c>
      <c r="P52" t="s">
        <v>13</v>
      </c>
      <c r="Q52">
        <f>Q51-(M53*SQRT(M55))</f>
        <v>1.2102240777390738</v>
      </c>
      <c r="S52" t="s">
        <v>14</v>
      </c>
      <c r="T52">
        <f>EXP(-M56*(M55-M57))*_xlfn.NORM.DIST(-Q51,0,1,TRUE)</f>
        <v>0.1061908939781855</v>
      </c>
    </row>
    <row r="53" spans="1:20" x14ac:dyDescent="0.2">
      <c r="A53" t="s">
        <v>15</v>
      </c>
      <c r="B53">
        <v>0.1265</v>
      </c>
      <c r="E53" t="s">
        <v>16</v>
      </c>
      <c r="F53">
        <f>B52*EXP(-B54*B55)*_xlfn.NORM.DIST(-F52,0,1,TRUE)-B51*EXP(-B56*B55)*_xlfn.NORM.DIST(-F51,0,1,TRUE)</f>
        <v>1.0660622742521184</v>
      </c>
      <c r="L53" t="s">
        <v>15</v>
      </c>
      <c r="M53">
        <v>0.1265</v>
      </c>
      <c r="P53" t="s">
        <v>16</v>
      </c>
      <c r="Q53">
        <f>M52*EXP(-M54*M55)*_xlfn.NORM.DIST(-Q52,0,1,TRUE)-M51*EXP(-M56*M55)*_xlfn.NORM.DIST(-Q51,0,1,TRUE)</f>
        <v>1.0660622742521184</v>
      </c>
    </row>
    <row r="54" spans="1:20" x14ac:dyDescent="0.2">
      <c r="A54" t="s">
        <v>17</v>
      </c>
      <c r="B54">
        <v>4.4999999999999998E-2</v>
      </c>
      <c r="E54" t="s">
        <v>18</v>
      </c>
      <c r="F54">
        <f>B51*EXP(-B56*B55)*_xlfn.NORM.DIST(F51,0,1,TRUE)-B52*EXP(-B54*B55)*_xlfn.NORM.DIST(F52,0,1,TRUE)</f>
        <v>25.817469771075935</v>
      </c>
      <c r="L54" t="s">
        <v>17</v>
      </c>
      <c r="M54">
        <v>4.4999999999999998E-2</v>
      </c>
      <c r="P54" t="s">
        <v>18</v>
      </c>
      <c r="Q54">
        <f>M51*EXP(-M56*M55)*_xlfn.NORM.DIST(Q51,0,1,TRUE)-M52*EXP(-M54*M55)*_xlfn.NORM.DIST(Q52,0,1,TRUE)</f>
        <v>25.817469771075935</v>
      </c>
    </row>
    <row r="55" spans="1:20" x14ac:dyDescent="0.2">
      <c r="A55" t="s">
        <v>20</v>
      </c>
      <c r="B55">
        <f>30/365</f>
        <v>8.2191780821917804E-2</v>
      </c>
      <c r="L55" t="s">
        <v>20</v>
      </c>
      <c r="M55">
        <f>30/365</f>
        <v>8.2191780821917804E-2</v>
      </c>
    </row>
    <row r="56" spans="1:20" x14ac:dyDescent="0.2">
      <c r="A56" t="s">
        <v>22</v>
      </c>
      <c r="B56">
        <v>1.1599999999999999E-2</v>
      </c>
      <c r="L56" t="s">
        <v>22</v>
      </c>
      <c r="M56">
        <v>1.1599999999999999E-2</v>
      </c>
    </row>
    <row r="57" spans="1:20" x14ac:dyDescent="0.2">
      <c r="A57" t="s">
        <v>23</v>
      </c>
      <c r="L57" t="s">
        <v>23</v>
      </c>
    </row>
    <row r="58" spans="1:20" x14ac:dyDescent="0.2">
      <c r="A58" t="s">
        <v>59</v>
      </c>
      <c r="B58">
        <v>100</v>
      </c>
      <c r="L58" t="s">
        <v>59</v>
      </c>
      <c r="M58">
        <v>100</v>
      </c>
    </row>
    <row r="60" spans="1:20" x14ac:dyDescent="0.2">
      <c r="A60" t="s">
        <v>64</v>
      </c>
      <c r="B60">
        <f>I52-I36</f>
        <v>-0.27133429875256609</v>
      </c>
      <c r="D60" t="s">
        <v>62</v>
      </c>
      <c r="E60">
        <f>((B51-B35)*I36*100)-((F53-F37*100)-E44)</f>
        <v>2319.7282863351998</v>
      </c>
      <c r="L60" t="s">
        <v>64</v>
      </c>
      <c r="M60">
        <f>T51-T35</f>
        <v>0.27133429875256609</v>
      </c>
      <c r="O60" t="s">
        <v>62</v>
      </c>
      <c r="P60">
        <f>((M51-M35)*T35*100)-((Q54-Q38*100)-P44)</f>
        <v>4092.7578693392088</v>
      </c>
    </row>
    <row r="61" spans="1:20" x14ac:dyDescent="0.2">
      <c r="A61" t="s">
        <v>61</v>
      </c>
      <c r="B61">
        <f>B60*B58</f>
        <v>-27.13342987525661</v>
      </c>
      <c r="L61" t="s">
        <v>61</v>
      </c>
      <c r="M61">
        <f>M60*M58</f>
        <v>27.13342987525661</v>
      </c>
    </row>
    <row r="62" spans="1:20" x14ac:dyDescent="0.2">
      <c r="A62" t="s">
        <v>63</v>
      </c>
      <c r="B62">
        <f>B61*B51</f>
        <v>-15428.610895668413</v>
      </c>
      <c r="L62" t="s">
        <v>63</v>
      </c>
      <c r="M62">
        <f>M61*M51</f>
        <v>15428.610895668413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F90F2-4380-284F-AC53-8F8EE36AE983}">
  <dimension ref="A1:A12"/>
  <sheetViews>
    <sheetView tabSelected="1" workbookViewId="0">
      <selection activeCell="G31" sqref="G31"/>
    </sheetView>
  </sheetViews>
  <sheetFormatPr baseColWidth="10" defaultRowHeight="16" x14ac:dyDescent="0.2"/>
  <sheetData>
    <row r="1" spans="1:1" x14ac:dyDescent="0.2">
      <c r="A1" t="s">
        <v>34</v>
      </c>
    </row>
    <row r="2" spans="1:1" x14ac:dyDescent="0.2">
      <c r="A2" t="s">
        <v>35</v>
      </c>
    </row>
    <row r="3" spans="1:1" x14ac:dyDescent="0.2">
      <c r="A3" t="s">
        <v>36</v>
      </c>
    </row>
    <row r="4" spans="1:1" x14ac:dyDescent="0.2">
      <c r="A4" t="s">
        <v>37</v>
      </c>
    </row>
    <row r="5" spans="1:1" x14ac:dyDescent="0.2">
      <c r="A5" t="s">
        <v>38</v>
      </c>
    </row>
    <row r="6" spans="1:1" x14ac:dyDescent="0.2">
      <c r="A6" t="s">
        <v>39</v>
      </c>
    </row>
    <row r="7" spans="1:1" x14ac:dyDescent="0.2">
      <c r="A7" t="s">
        <v>40</v>
      </c>
    </row>
    <row r="8" spans="1:1" x14ac:dyDescent="0.2">
      <c r="A8" t="s">
        <v>41</v>
      </c>
    </row>
    <row r="9" spans="1:1" x14ac:dyDescent="0.2">
      <c r="A9" t="s">
        <v>42</v>
      </c>
    </row>
    <row r="10" spans="1:1" x14ac:dyDescent="0.2">
      <c r="A10" t="s">
        <v>43</v>
      </c>
    </row>
    <row r="11" spans="1:1" x14ac:dyDescent="0.2">
      <c r="A11" t="s">
        <v>44</v>
      </c>
    </row>
    <row r="12" spans="1:1" x14ac:dyDescent="0.2">
      <c r="A1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Strategies</vt:lpstr>
      <vt:lpstr>1st period D heldge</vt:lpstr>
      <vt:lpstr>2nd Period D Hedge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Nkwawir, Sikem S.</dc:creator>
  <cp:lastModifiedBy>Nkwawir, Sikem S.</cp:lastModifiedBy>
  <dcterms:created xsi:type="dcterms:W3CDTF">2024-11-27T22:19:32Z</dcterms:created>
  <dcterms:modified xsi:type="dcterms:W3CDTF">2026-05-10T01:49:24Z</dcterms:modified>
</cp:coreProperties>
</file>